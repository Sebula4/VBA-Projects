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ul\Desktop\New folder\"/>
    </mc:Choice>
  </mc:AlternateContent>
  <xr:revisionPtr revIDLastSave="0" documentId="13_ncr:1_{B4E2C300-80A5-44E2-9D21-C950AE85AB73}" xr6:coauthVersionLast="45" xr6:coauthVersionMax="45" xr10:uidLastSave="{00000000-0000-0000-0000-000000000000}"/>
  <bookViews>
    <workbookView xWindow="-28920" yWindow="-120" windowWidth="29040" windowHeight="15840" xr2:uid="{00000000-000D-0000-FFFF-FFFF00000000}"/>
  </bookViews>
  <sheets>
    <sheet name="Input Job" sheetId="1" r:id="rId1"/>
    <sheet name="Projects" sheetId="2" r:id="rId2"/>
    <sheet name="Quoted Service" sheetId="8" r:id="rId3"/>
    <sheet name="Maintenance" sheetId="6" r:id="rId4"/>
    <sheet name="Automation" sheetId="7" r:id="rId5"/>
  </sheets>
  <definedNames>
    <definedName name="Item1">'Input Job'!$A$8:$A$11</definedName>
    <definedName name="Item2">'Input Job'!$Z$1:$Z$7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7" l="1"/>
  <c r="H5" i="1" s="1"/>
  <c r="M1" i="6"/>
  <c r="H4" i="1" s="1"/>
  <c r="J1" i="8"/>
  <c r="H3" i="1" s="1"/>
  <c r="J1" i="2" l="1"/>
  <c r="H2" i="1" s="1"/>
  <c r="D8" i="1" l="1"/>
  <c r="I11" i="1" l="1"/>
  <c r="H11" i="1"/>
  <c r="G11" i="1"/>
  <c r="F11" i="1"/>
  <c r="E11" i="1"/>
  <c r="D11" i="1"/>
  <c r="C11" i="1"/>
  <c r="B11" i="1"/>
  <c r="I10" i="1"/>
  <c r="H10" i="1"/>
  <c r="G10" i="1"/>
  <c r="F10" i="1"/>
  <c r="E10" i="1"/>
  <c r="D10" i="1"/>
  <c r="C10" i="1"/>
  <c r="B10" i="1"/>
  <c r="I9" i="1"/>
  <c r="H9" i="1"/>
  <c r="G9" i="1"/>
  <c r="F9" i="1"/>
  <c r="E9" i="1"/>
  <c r="D9" i="1"/>
  <c r="C9" i="1"/>
  <c r="B9" i="1"/>
  <c r="I8" i="1"/>
  <c r="H8" i="1"/>
  <c r="G8" i="1"/>
  <c r="F8" i="1"/>
  <c r="E8" i="1"/>
  <c r="C8" i="1"/>
  <c r="B8" i="1"/>
  <c r="F5" i="1" l="1"/>
  <c r="F1" i="7" s="1"/>
  <c r="F4" i="1"/>
  <c r="F1" i="6" s="1"/>
  <c r="F3" i="1"/>
  <c r="F1" i="8" s="1"/>
  <c r="F2" i="1"/>
  <c r="F1" i="2" s="1"/>
</calcChain>
</file>

<file path=xl/sharedStrings.xml><?xml version="1.0" encoding="utf-8"?>
<sst xmlns="http://schemas.openxmlformats.org/spreadsheetml/2006/main" count="125" uniqueCount="32">
  <si>
    <t>Date Entered</t>
  </si>
  <si>
    <t>Customer</t>
  </si>
  <si>
    <t>Contact</t>
  </si>
  <si>
    <t>Site</t>
  </si>
  <si>
    <t>Job Description</t>
  </si>
  <si>
    <t>Sales Person</t>
  </si>
  <si>
    <t>Price</t>
  </si>
  <si>
    <t>Status</t>
  </si>
  <si>
    <t>Notes</t>
  </si>
  <si>
    <t>Contract Coverage</t>
  </si>
  <si>
    <t>Proposal Date</t>
  </si>
  <si>
    <t>Renewal Date</t>
  </si>
  <si>
    <t>Projects</t>
  </si>
  <si>
    <t>Quoted Service</t>
  </si>
  <si>
    <t>Maintenance</t>
  </si>
  <si>
    <t>Automation</t>
  </si>
  <si>
    <t>Q</t>
  </si>
  <si>
    <t>E</t>
  </si>
  <si>
    <t>P</t>
  </si>
  <si>
    <t>N</t>
  </si>
  <si>
    <t>S</t>
  </si>
  <si>
    <t>L</t>
  </si>
  <si>
    <t>D</t>
  </si>
  <si>
    <t>Total</t>
  </si>
  <si>
    <t>Status: Q=Qualifying E=Estimating P=Proposed N=negotiating  S=Sold  L=Lost  D=Dead (no action taken)</t>
  </si>
  <si>
    <t>Row to Edit:</t>
  </si>
  <si>
    <t>Type</t>
  </si>
  <si>
    <t>Win Rate</t>
  </si>
  <si>
    <t>Recently Edited</t>
  </si>
  <si>
    <t># of recent edits</t>
  </si>
  <si>
    <t>Test</t>
  </si>
  <si>
    <t>Reviewed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</si>
</sst>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/>
    <xf numFmtId="0" fontId="5" fillId="0" borderId="0" xfId="0" applyFont="1"/>
    <xf numFmtId="0" fontId="2" fillId="0" borderId="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3" borderId="14" xfId="0" applyFont="1" applyFill="1" applyBorder="1"/>
    <xf numFmtId="0" fontId="2" fillId="2" borderId="15" xfId="0" applyFont="1" applyFill="1" applyBorder="1"/>
    <xf numFmtId="0" fontId="2" fillId="4" borderId="15" xfId="0" applyFont="1" applyFill="1" applyBorder="1"/>
    <xf numFmtId="0" fontId="2" fillId="5" borderId="16" xfId="0" applyFont="1" applyFill="1" applyBorder="1"/>
    <xf numFmtId="0" fontId="6" fillId="0" borderId="0" xfId="0" applyFont="1" applyAlignment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/>
    <xf numFmtId="0" fontId="2" fillId="0" borderId="5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0" fillId="6" borderId="0" xfId="0" applyFill="1" applyAlignment="1"/>
    <xf numFmtId="0" fontId="0" fillId="6" borderId="22" xfId="0" applyFill="1" applyBorder="1" applyAlignment="1"/>
    <xf numFmtId="0" fontId="2" fillId="0" borderId="0" xfId="0" applyFont="1" applyAlignment="1">
      <alignment horizontal="right" vertical="center"/>
    </xf>
    <xf numFmtId="14" fontId="0" fillId="0" borderId="0" xfId="0" applyNumberFormat="1" applyAlignment="1">
      <alignment horizontal="center" wrapText="1"/>
    </xf>
    <xf numFmtId="44" fontId="0" fillId="0" borderId="0" xfId="1" applyFont="1" applyAlignment="1">
      <alignment horizontal="center" wrapText="1"/>
    </xf>
    <xf numFmtId="0" fontId="0" fillId="0" borderId="0" xfId="0" applyAlignment="1">
      <alignment horizontal="center" wrapText="1"/>
    </xf>
    <xf numFmtId="0" fontId="2" fillId="3" borderId="0" xfId="0" applyFont="1" applyFill="1" applyAlignment="1">
      <alignment horizontal="center" vertical="center"/>
    </xf>
    <xf numFmtId="9" fontId="2" fillId="3" borderId="0" xfId="0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9" fontId="2" fillId="8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8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9" fontId="2" fillId="5" borderId="0" xfId="0" applyNumberFormat="1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9" fontId="2" fillId="10" borderId="0" xfId="0" applyNumberFormat="1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1" fontId="4" fillId="6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center" wrapText="1"/>
    </xf>
    <xf numFmtId="0" fontId="2" fillId="0" borderId="2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3" borderId="20" xfId="2" applyNumberFormat="1" applyFont="1" applyFill="1" applyBorder="1" applyAlignment="1">
      <alignment horizontal="center"/>
    </xf>
    <xf numFmtId="0" fontId="0" fillId="3" borderId="9" xfId="2" applyNumberFormat="1" applyFont="1" applyFill="1" applyBorder="1" applyAlignment="1">
      <alignment horizontal="center"/>
    </xf>
    <xf numFmtId="0" fontId="2" fillId="2" borderId="18" xfId="2" applyNumberFormat="1" applyFont="1" applyFill="1" applyBorder="1" applyAlignment="1">
      <alignment horizontal="center"/>
    </xf>
    <xf numFmtId="0" fontId="2" fillId="2" borderId="6" xfId="2" applyNumberFormat="1" applyFont="1" applyFill="1" applyBorder="1" applyAlignment="1">
      <alignment horizontal="center"/>
    </xf>
    <xf numFmtId="0" fontId="2" fillId="4" borderId="18" xfId="2" applyNumberFormat="1" applyFont="1" applyFill="1" applyBorder="1" applyAlignment="1">
      <alignment horizontal="center"/>
    </xf>
    <xf numFmtId="0" fontId="2" fillId="4" borderId="6" xfId="2" applyNumberFormat="1" applyFont="1" applyFill="1" applyBorder="1" applyAlignment="1">
      <alignment horizontal="center"/>
    </xf>
    <xf numFmtId="0" fontId="2" fillId="5" borderId="19" xfId="2" applyNumberFormat="1" applyFont="1" applyFill="1" applyBorder="1" applyAlignment="1">
      <alignment horizontal="center"/>
    </xf>
    <xf numFmtId="0" fontId="2" fillId="5" borderId="8" xfId="2" applyNumberFormat="1" applyFont="1" applyFill="1" applyBorder="1" applyAlignment="1">
      <alignment horizontal="center"/>
    </xf>
    <xf numFmtId="9" fontId="0" fillId="3" borderId="20" xfId="2" applyFont="1" applyFill="1" applyBorder="1" applyAlignment="1">
      <alignment horizontal="center"/>
    </xf>
    <xf numFmtId="9" fontId="0" fillId="3" borderId="9" xfId="2" applyFont="1" applyFill="1" applyBorder="1" applyAlignment="1">
      <alignment horizontal="center"/>
    </xf>
    <xf numFmtId="9" fontId="2" fillId="2" borderId="18" xfId="2" applyFont="1" applyFill="1" applyBorder="1" applyAlignment="1">
      <alignment horizontal="center"/>
    </xf>
    <xf numFmtId="9" fontId="2" fillId="2" borderId="6" xfId="2" applyFont="1" applyFill="1" applyBorder="1" applyAlignment="1">
      <alignment horizontal="center"/>
    </xf>
    <xf numFmtId="9" fontId="2" fillId="4" borderId="18" xfId="2" applyFont="1" applyFill="1" applyBorder="1" applyAlignment="1">
      <alignment horizontal="center"/>
    </xf>
    <xf numFmtId="9" fontId="2" fillId="4" borderId="6" xfId="2" applyFont="1" applyFill="1" applyBorder="1" applyAlignment="1">
      <alignment horizontal="center"/>
    </xf>
    <xf numFmtId="9" fontId="2" fillId="5" borderId="19" xfId="2" applyFont="1" applyFill="1" applyBorder="1" applyAlignment="1">
      <alignment horizontal="center"/>
    </xf>
    <xf numFmtId="9" fontId="2" fillId="5" borderId="8" xfId="2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2" fillId="5" borderId="19" xfId="0" applyFont="1" applyFill="1" applyBorder="1" applyAlignment="1">
      <alignment horizontal="left"/>
    </xf>
    <xf numFmtId="0" fontId="2" fillId="5" borderId="28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3" borderId="20" xfId="0" applyFont="1" applyFill="1" applyBorder="1" applyAlignment="1">
      <alignment horizontal="left"/>
    </xf>
    <xf numFmtId="0" fontId="2" fillId="3" borderId="30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2" fillId="2" borderId="27" xfId="0" applyFont="1" applyFill="1" applyBorder="1" applyAlignment="1">
      <alignment horizontal="left"/>
    </xf>
    <xf numFmtId="0" fontId="2" fillId="4" borderId="18" xfId="0" applyFont="1" applyFill="1" applyBorder="1" applyAlignment="1">
      <alignment horizontal="left"/>
    </xf>
    <xf numFmtId="0" fontId="2" fillId="4" borderId="27" xfId="0" applyFont="1" applyFill="1" applyBorder="1" applyAlignment="1">
      <alignment horizontal="left"/>
    </xf>
    <xf numFmtId="0" fontId="6" fillId="0" borderId="23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 vertical="center"/>
    </xf>
    <xf numFmtId="0" fontId="7" fillId="12" borderId="0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9" borderId="0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1">
    <dxf>
      <alignment horizontal="center" vertical="center" textRotation="0" wrapText="1" indent="0" justifyLastLine="0" shrinkToFit="0" readingOrder="0"/>
      <protection locked="1" hidden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textRotation="0" wrapText="1" indent="0" justifyLastLine="0" shrinkToFit="0" readingOrder="0"/>
      <protection locked="1" hidden="0"/>
    </dxf>
    <dxf>
      <alignment horizontal="left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47625</xdr:rowOff>
        </xdr:from>
        <xdr:to>
          <xdr:col>1</xdr:col>
          <xdr:colOff>419100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0</xdr:rowOff>
        </xdr:from>
        <xdr:to>
          <xdr:col>8</xdr:col>
          <xdr:colOff>990600</xdr:colOff>
          <xdr:row>0</xdr:row>
          <xdr:rowOff>361950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1133475</xdr:colOff>
          <xdr:row>0</xdr:row>
          <xdr:rowOff>0</xdr:rowOff>
        </xdr:from>
        <xdr:to>
          <xdr:col>8</xdr:col>
          <xdr:colOff>2095500</xdr:colOff>
          <xdr:row>0</xdr:row>
          <xdr:rowOff>361950</xdr:rowOff>
        </xdr:to>
        <xdr:sp macro="" textlink="">
          <xdr:nvSpPr>
            <xdr:cNvPr id="2075" name="CommandButton6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0</xdr:row>
          <xdr:rowOff>0</xdr:rowOff>
        </xdr:from>
        <xdr:to>
          <xdr:col>8</xdr:col>
          <xdr:colOff>1000125</xdr:colOff>
          <xdr:row>0</xdr:row>
          <xdr:rowOff>361950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1143000</xdr:colOff>
          <xdr:row>0</xdr:row>
          <xdr:rowOff>0</xdr:rowOff>
        </xdr:from>
        <xdr:to>
          <xdr:col>8</xdr:col>
          <xdr:colOff>2105025</xdr:colOff>
          <xdr:row>0</xdr:row>
          <xdr:rowOff>361950</xdr:rowOff>
        </xdr:to>
        <xdr:sp macro="" textlink="">
          <xdr:nvSpPr>
            <xdr:cNvPr id="3076" name="CommandButton2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0</xdr:rowOff>
        </xdr:from>
        <xdr:to>
          <xdr:col>9</xdr:col>
          <xdr:colOff>9525</xdr:colOff>
          <xdr:row>0</xdr:row>
          <xdr:rowOff>361950</xdr:rowOff>
        </xdr:to>
        <xdr:sp macro="" textlink="">
          <xdr:nvSpPr>
            <xdr:cNvPr id="4105" name="CommandButton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0</xdr:rowOff>
        </xdr:from>
        <xdr:to>
          <xdr:col>9</xdr:col>
          <xdr:colOff>1028700</xdr:colOff>
          <xdr:row>0</xdr:row>
          <xdr:rowOff>361950</xdr:rowOff>
        </xdr:to>
        <xdr:sp macro="" textlink="">
          <xdr:nvSpPr>
            <xdr:cNvPr id="4106" name="CommandButton2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0</xdr:row>
          <xdr:rowOff>0</xdr:rowOff>
        </xdr:from>
        <xdr:to>
          <xdr:col>8</xdr:col>
          <xdr:colOff>990600</xdr:colOff>
          <xdr:row>0</xdr:row>
          <xdr:rowOff>361950</xdr:rowOff>
        </xdr:to>
        <xdr:sp macro="" textlink="">
          <xdr:nvSpPr>
            <xdr:cNvPr id="5125" name="CommandButton1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1133475</xdr:colOff>
          <xdr:row>0</xdr:row>
          <xdr:rowOff>0</xdr:rowOff>
        </xdr:from>
        <xdr:to>
          <xdr:col>8</xdr:col>
          <xdr:colOff>2095500</xdr:colOff>
          <xdr:row>0</xdr:row>
          <xdr:rowOff>361950</xdr:rowOff>
        </xdr:to>
        <xdr:sp macro="" textlink="">
          <xdr:nvSpPr>
            <xdr:cNvPr id="5126" name="CommandButton2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:J3" totalsRowShown="0" headerRowDxfId="50" dataDxfId="49">
  <autoFilter ref="A2:J3" xr:uid="{00000000-0009-0000-0100-000001000000}"/>
  <sortState xmlns:xlrd2="http://schemas.microsoft.com/office/spreadsheetml/2017/richdata2" ref="A3:J5">
    <sortCondition ref="F2:F5"/>
  </sortState>
  <tableColumns count="10">
    <tableColumn id="1" xr3:uid="{00000000-0010-0000-0000-000001000000}" name="Date Entered" dataDxfId="48"/>
    <tableColumn id="2" xr3:uid="{00000000-0010-0000-0000-000002000000}" name="Customer" dataDxfId="47"/>
    <tableColumn id="3" xr3:uid="{00000000-0010-0000-0000-000003000000}" name="Contact" dataDxfId="46"/>
    <tableColumn id="4" xr3:uid="{00000000-0010-0000-0000-000004000000}" name="Site" dataDxfId="45"/>
    <tableColumn id="5" xr3:uid="{00000000-0010-0000-0000-000005000000}" name="Job Description" dataDxfId="44"/>
    <tableColumn id="6" xr3:uid="{00000000-0010-0000-0000-000006000000}" name="Sales Person" dataDxfId="43"/>
    <tableColumn id="7" xr3:uid="{00000000-0010-0000-0000-000007000000}" name="Price" dataDxfId="42" dataCellStyle="Currency"/>
    <tableColumn id="8" xr3:uid="{00000000-0010-0000-0000-000008000000}" name="Status" dataDxfId="41"/>
    <tableColumn id="9" xr3:uid="{00000000-0010-0000-0000-000009000000}" name="Notes" dataDxfId="40"/>
    <tableColumn id="11" xr3:uid="{00000000-0010-0000-0000-00000B000000}" name="Recently Edited" dataDxfId="39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18" displayName="Table18" ref="A2:J3" totalsRowShown="0" headerRowDxfId="38" dataDxfId="37">
  <autoFilter ref="A2:J3" xr:uid="{00000000-0009-0000-0100-000007000000}"/>
  <tableColumns count="10">
    <tableColumn id="1" xr3:uid="{00000000-0010-0000-0100-000001000000}" name="Date Entered" dataDxfId="36"/>
    <tableColumn id="2" xr3:uid="{00000000-0010-0000-0100-000002000000}" name="Customer" dataDxfId="35"/>
    <tableColumn id="3" xr3:uid="{00000000-0010-0000-0100-000003000000}" name="Contact" dataDxfId="34"/>
    <tableColumn id="4" xr3:uid="{00000000-0010-0000-0100-000004000000}" name="Site" dataDxfId="33"/>
    <tableColumn id="5" xr3:uid="{00000000-0010-0000-0100-000005000000}" name="Job Description" dataDxfId="32"/>
    <tableColumn id="6" xr3:uid="{00000000-0010-0000-0100-000006000000}" name="Sales Person" dataDxfId="31"/>
    <tableColumn id="7" xr3:uid="{00000000-0010-0000-0100-000007000000}" name="Price" dataDxfId="30" dataCellStyle="Currency"/>
    <tableColumn id="8" xr3:uid="{00000000-0010-0000-0100-000008000000}" name="Status" dataDxfId="29"/>
    <tableColumn id="9" xr3:uid="{00000000-0010-0000-0100-000009000000}" name="Notes" dataDxfId="28"/>
    <tableColumn id="10" xr3:uid="{00000000-0010-0000-0100-00000A000000}" name="Recently Edited" dataDxfId="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16" displayName="Table16" ref="A2:M3" totalsRowShown="0" headerRowDxfId="26" dataDxfId="25">
  <autoFilter ref="A2:M3" xr:uid="{00000000-0009-0000-0100-000005000000}"/>
  <tableColumns count="13">
    <tableColumn id="1" xr3:uid="{00000000-0010-0000-0200-000001000000}" name="Date Entered" dataDxfId="24"/>
    <tableColumn id="2" xr3:uid="{00000000-0010-0000-0200-000002000000}" name="Customer" dataDxfId="23"/>
    <tableColumn id="3" xr3:uid="{00000000-0010-0000-0200-000003000000}" name="Contact" dataDxfId="22"/>
    <tableColumn id="4" xr3:uid="{00000000-0010-0000-0200-000004000000}" name="Site" dataDxfId="21"/>
    <tableColumn id="5" xr3:uid="{00000000-0010-0000-0200-000005000000}" name="Job Description" dataDxfId="20"/>
    <tableColumn id="6" xr3:uid="{00000000-0010-0000-0200-000006000000}" name="Sales Person" dataDxfId="19"/>
    <tableColumn id="12" xr3:uid="{00000000-0010-0000-0200-00000C000000}" name="Contract Coverage" dataDxfId="18"/>
    <tableColumn id="13" xr3:uid="{00000000-0010-0000-0200-00000D000000}" name="Proposal Date" dataDxfId="17"/>
    <tableColumn id="11" xr3:uid="{00000000-0010-0000-0200-00000B000000}" name="Renewal Date" dataDxfId="16"/>
    <tableColumn id="7" xr3:uid="{00000000-0010-0000-0200-000007000000}" name="Price" dataDxfId="15" dataCellStyle="Currency"/>
    <tableColumn id="8" xr3:uid="{00000000-0010-0000-0200-000008000000}" name="Status" dataDxfId="14"/>
    <tableColumn id="9" xr3:uid="{00000000-0010-0000-0200-000009000000}" name="Notes" dataDxfId="13"/>
    <tableColumn id="10" xr3:uid="{00000000-0010-0000-0200-00000A000000}" name="Recently Edited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17" displayName="Table17" ref="A2:J3" totalsRowShown="0" headerRowDxfId="11" dataDxfId="10">
  <autoFilter ref="A2:J3" xr:uid="{00000000-0009-0000-0100-000006000000}"/>
  <tableColumns count="10">
    <tableColumn id="1" xr3:uid="{00000000-0010-0000-0300-000001000000}" name="Date Entered" dataDxfId="9"/>
    <tableColumn id="2" xr3:uid="{00000000-0010-0000-0300-000002000000}" name="Customer" dataDxfId="8"/>
    <tableColumn id="3" xr3:uid="{00000000-0010-0000-0300-000003000000}" name="Contact" dataDxfId="7"/>
    <tableColumn id="4" xr3:uid="{00000000-0010-0000-0300-000004000000}" name="Site" dataDxfId="6"/>
    <tableColumn id="5" xr3:uid="{00000000-0010-0000-0300-000005000000}" name="Job Description" dataDxfId="5"/>
    <tableColumn id="6" xr3:uid="{00000000-0010-0000-0300-000006000000}" name="Sales Person" dataDxfId="4"/>
    <tableColumn id="7" xr3:uid="{00000000-0010-0000-0300-000007000000}" name="Price" dataDxfId="3" dataCellStyle="Currency"/>
    <tableColumn id="8" xr3:uid="{00000000-0010-0000-0300-000008000000}" name="Status" dataDxfId="2"/>
    <tableColumn id="9" xr3:uid="{00000000-0010-0000-0300-000009000000}" name="Notes" dataDxfId="1"/>
    <tableColumn id="10" xr3:uid="{00000000-0010-0000-0300-00000A000000}" name="Recently Edited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9.emf"/><Relationship Id="rId5" Type="http://schemas.openxmlformats.org/officeDocument/2006/relationships/control" Target="../activeX/activeX9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6"/>
  <sheetViews>
    <sheetView tabSelected="1" zoomScaleNormal="100" workbookViewId="0">
      <selection activeCell="E17" sqref="E17"/>
    </sheetView>
  </sheetViews>
  <sheetFormatPr defaultRowHeight="15" x14ac:dyDescent="0.25"/>
  <cols>
    <col min="1" max="1" width="14.7109375" bestFit="1" customWidth="1"/>
    <col min="2" max="2" width="9.140625" customWidth="1"/>
    <col min="3" max="3" width="8.28515625" customWidth="1"/>
    <col min="14" max="14" width="9.5703125" customWidth="1"/>
  </cols>
  <sheetData>
    <row r="1" spans="1:26" ht="15.75" customHeight="1" thickBot="1" x14ac:dyDescent="0.3">
      <c r="A1" s="26"/>
      <c r="B1" s="27"/>
      <c r="D1" s="71" t="s">
        <v>26</v>
      </c>
      <c r="E1" s="72"/>
      <c r="F1" s="50" t="s">
        <v>27</v>
      </c>
      <c r="G1" s="51"/>
      <c r="H1" s="50" t="s">
        <v>28</v>
      </c>
      <c r="I1" s="51"/>
      <c r="K1" s="79" t="s">
        <v>24</v>
      </c>
      <c r="L1" s="80"/>
      <c r="Z1" s="3" t="s">
        <v>16</v>
      </c>
    </row>
    <row r="2" spans="1:26" ht="15" customHeight="1" x14ac:dyDescent="0.25">
      <c r="A2" s="26"/>
      <c r="B2" s="27"/>
      <c r="D2" s="73" t="s">
        <v>12</v>
      </c>
      <c r="E2" s="74"/>
      <c r="F2" s="60">
        <f>F8/I8</f>
        <v>0</v>
      </c>
      <c r="G2" s="61"/>
      <c r="H2" s="52">
        <f>Projects!J1</f>
        <v>0</v>
      </c>
      <c r="I2" s="53"/>
      <c r="K2" s="81"/>
      <c r="L2" s="82"/>
      <c r="O2" s="10"/>
      <c r="Z2" s="3" t="s">
        <v>17</v>
      </c>
    </row>
    <row r="3" spans="1:26" x14ac:dyDescent="0.25">
      <c r="A3" s="68"/>
      <c r="B3" s="68"/>
      <c r="D3" s="75" t="s">
        <v>13</v>
      </c>
      <c r="E3" s="76"/>
      <c r="F3" s="62">
        <f>F9/I9</f>
        <v>0</v>
      </c>
      <c r="G3" s="63"/>
      <c r="H3" s="54">
        <f>'Quoted Service'!J1</f>
        <v>0</v>
      </c>
      <c r="I3" s="55"/>
      <c r="K3" s="81"/>
      <c r="L3" s="82"/>
      <c r="O3" s="10"/>
      <c r="Z3" s="3" t="s">
        <v>18</v>
      </c>
    </row>
    <row r="4" spans="1:26" x14ac:dyDescent="0.25">
      <c r="A4" s="68"/>
      <c r="B4" s="68"/>
      <c r="D4" s="77" t="s">
        <v>14</v>
      </c>
      <c r="E4" s="78"/>
      <c r="F4" s="64">
        <f>F10/I10</f>
        <v>0</v>
      </c>
      <c r="G4" s="65"/>
      <c r="H4" s="56">
        <f>Maintenance!M1</f>
        <v>0</v>
      </c>
      <c r="I4" s="57"/>
      <c r="K4" s="81"/>
      <c r="L4" s="82"/>
      <c r="O4" s="10"/>
      <c r="Z4" s="3" t="s">
        <v>19</v>
      </c>
    </row>
    <row r="5" spans="1:26" ht="15.75" thickBot="1" x14ac:dyDescent="0.3">
      <c r="A5" s="68"/>
      <c r="B5" s="68"/>
      <c r="D5" s="69" t="s">
        <v>15</v>
      </c>
      <c r="E5" s="70"/>
      <c r="F5" s="66">
        <f>F11/I11</f>
        <v>0</v>
      </c>
      <c r="G5" s="67"/>
      <c r="H5" s="58">
        <f>Automation!J1</f>
        <v>0</v>
      </c>
      <c r="I5" s="59"/>
      <c r="K5" s="81"/>
      <c r="L5" s="82"/>
      <c r="Z5" s="3" t="s">
        <v>20</v>
      </c>
    </row>
    <row r="6" spans="1:26" ht="15.75" thickBot="1" x14ac:dyDescent="0.3">
      <c r="K6" s="81"/>
      <c r="L6" s="82"/>
      <c r="Z6" s="3" t="s">
        <v>21</v>
      </c>
    </row>
    <row r="7" spans="1:26" ht="15.75" thickBot="1" x14ac:dyDescent="0.3">
      <c r="A7" s="12" t="s">
        <v>26</v>
      </c>
      <c r="B7" s="5" t="s">
        <v>16</v>
      </c>
      <c r="C7" s="4" t="s">
        <v>17</v>
      </c>
      <c r="D7" s="4" t="s">
        <v>18</v>
      </c>
      <c r="E7" s="4" t="s">
        <v>19</v>
      </c>
      <c r="F7" s="4" t="s">
        <v>20</v>
      </c>
      <c r="G7" s="4" t="s">
        <v>21</v>
      </c>
      <c r="H7" s="4" t="s">
        <v>22</v>
      </c>
      <c r="I7" s="13" t="s">
        <v>23</v>
      </c>
      <c r="K7" s="81"/>
      <c r="L7" s="82"/>
      <c r="Z7" s="3" t="s">
        <v>22</v>
      </c>
    </row>
    <row r="8" spans="1:26" ht="15.75" thickBot="1" x14ac:dyDescent="0.3">
      <c r="A8" s="6" t="s">
        <v>12</v>
      </c>
      <c r="B8" s="14">
        <f>COUNTIF(Table1[Status],"Q")</f>
        <v>0</v>
      </c>
      <c r="C8" s="15">
        <f>COUNTIF(Table1[Status],"E")</f>
        <v>0</v>
      </c>
      <c r="D8" s="15">
        <f>COUNTIF(Table1[Status],"P")</f>
        <v>1</v>
      </c>
      <c r="E8" s="15">
        <f>COUNTIF(Table1[Status],"N")</f>
        <v>0</v>
      </c>
      <c r="F8" s="15">
        <f>COUNTIF(Table1[Status],"S")</f>
        <v>0</v>
      </c>
      <c r="G8" s="15">
        <f>COUNTIF(Table1[Status],"L")</f>
        <v>0</v>
      </c>
      <c r="H8" s="15">
        <f>COUNTIF(Table1[Status],"D")</f>
        <v>0</v>
      </c>
      <c r="I8" s="16">
        <f>COUNT(Table1[Date Entered])</f>
        <v>1</v>
      </c>
      <c r="K8" s="83"/>
      <c r="L8" s="84"/>
    </row>
    <row r="9" spans="1:26" x14ac:dyDescent="0.25">
      <c r="A9" s="7" t="s">
        <v>13</v>
      </c>
      <c r="B9" s="17">
        <f>COUNTIF(Table18[Status],"Q")</f>
        <v>0</v>
      </c>
      <c r="C9" s="18">
        <f>COUNTIF(Table18[Status],"E")</f>
        <v>0</v>
      </c>
      <c r="D9" s="18">
        <f>COUNTIF(Table18[Status],"P")</f>
        <v>1</v>
      </c>
      <c r="E9" s="18">
        <f>COUNTIF(Table18[Status],"N")</f>
        <v>0</v>
      </c>
      <c r="F9" s="18">
        <f>COUNTIF(Table18[Status],"S")</f>
        <v>0</v>
      </c>
      <c r="G9" s="18">
        <f>COUNTIF(Table18[Status],"L")</f>
        <v>0</v>
      </c>
      <c r="H9" s="18">
        <f>COUNTIF(Table18[Status],"D")</f>
        <v>0</v>
      </c>
      <c r="I9" s="19">
        <f>COUNT(Table18[Date Entered])</f>
        <v>1</v>
      </c>
    </row>
    <row r="10" spans="1:26" x14ac:dyDescent="0.25">
      <c r="A10" s="8" t="s">
        <v>14</v>
      </c>
      <c r="B10" s="20">
        <f>COUNTIF(Table16[Status],"Q")</f>
        <v>0</v>
      </c>
      <c r="C10" s="21">
        <f>COUNTIF(Table17[Status],"E")</f>
        <v>0</v>
      </c>
      <c r="D10" s="21">
        <f>COUNTIF(Table16[Status],"P")</f>
        <v>1</v>
      </c>
      <c r="E10" s="21">
        <f>COUNTIF(Table16[Status],"N")</f>
        <v>0</v>
      </c>
      <c r="F10" s="21">
        <f>COUNTIF(Table16[Status],"S")</f>
        <v>0</v>
      </c>
      <c r="G10" s="21">
        <f>COUNTIF(Table16[Status],"L")</f>
        <v>0</v>
      </c>
      <c r="H10" s="21">
        <f>COUNTIF(Table16[Status],"D")</f>
        <v>0</v>
      </c>
      <c r="I10" s="22">
        <f>COUNT(Table16[Date Entered])</f>
        <v>1</v>
      </c>
    </row>
    <row r="11" spans="1:26" ht="15.75" thickBot="1" x14ac:dyDescent="0.3">
      <c r="A11" s="9" t="s">
        <v>15</v>
      </c>
      <c r="B11" s="23">
        <f>COUNTIF(Table17[Status],"Q")</f>
        <v>0</v>
      </c>
      <c r="C11" s="24">
        <f>COUNTIF(Table16[Status],"E")</f>
        <v>0</v>
      </c>
      <c r="D11" s="24">
        <f>COUNTIF(Table17[Status],"P")</f>
        <v>1</v>
      </c>
      <c r="E11" s="24">
        <f>COUNTIF(Table17[Status],"N")</f>
        <v>0</v>
      </c>
      <c r="F11" s="24">
        <f>COUNTIF(Table17[Status],"S")</f>
        <v>0</v>
      </c>
      <c r="G11" s="24">
        <f>COUNTIF(Table17[Status],"L")</f>
        <v>0</v>
      </c>
      <c r="H11" s="24">
        <f>COUNTIF(Table17[Status],"D")</f>
        <v>0</v>
      </c>
      <c r="I11" s="25">
        <f>COUNT(Table17[Date Entered])</f>
        <v>1</v>
      </c>
    </row>
    <row r="12" spans="1:26" x14ac:dyDescent="0.25">
      <c r="E12" s="2"/>
      <c r="G12" s="2"/>
    </row>
    <row r="13" spans="1:26" x14ac:dyDescent="0.25">
      <c r="E13" s="2"/>
      <c r="G13" s="2"/>
    </row>
    <row r="14" spans="1:26" x14ac:dyDescent="0.25">
      <c r="E14" s="2"/>
      <c r="G14" s="2"/>
    </row>
    <row r="15" spans="1:26" x14ac:dyDescent="0.25">
      <c r="E15" s="2"/>
      <c r="G15" s="2"/>
    </row>
    <row r="16" spans="1:26" x14ac:dyDescent="0.25">
      <c r="E16" s="2"/>
      <c r="G16" s="2"/>
    </row>
    <row r="17" spans="5:7" x14ac:dyDescent="0.25">
      <c r="E17" s="2"/>
      <c r="G17" s="2"/>
    </row>
    <row r="18" spans="5:7" x14ac:dyDescent="0.25">
      <c r="E18" s="2"/>
      <c r="G18" s="2"/>
    </row>
    <row r="19" spans="5:7" x14ac:dyDescent="0.25">
      <c r="E19" s="2"/>
      <c r="G19" s="2"/>
    </row>
    <row r="20" spans="5:7" x14ac:dyDescent="0.25">
      <c r="E20" s="2"/>
      <c r="G20" s="2"/>
    </row>
    <row r="21" spans="5:7" x14ac:dyDescent="0.25">
      <c r="E21" s="2"/>
      <c r="G21" s="2"/>
    </row>
    <row r="22" spans="5:7" x14ac:dyDescent="0.25">
      <c r="E22" s="2"/>
      <c r="F22" s="2"/>
      <c r="G22" s="2"/>
    </row>
    <row r="23" spans="5:7" x14ac:dyDescent="0.25">
      <c r="E23" s="2"/>
      <c r="F23" s="2"/>
      <c r="G23" s="2"/>
    </row>
    <row r="24" spans="5:7" x14ac:dyDescent="0.25">
      <c r="E24" s="2"/>
      <c r="F24" s="2"/>
      <c r="G24" s="2"/>
    </row>
    <row r="25" spans="5:7" x14ac:dyDescent="0.25">
      <c r="E25" s="2"/>
      <c r="F25" s="2"/>
      <c r="G25" s="2"/>
    </row>
    <row r="26" spans="5:7" x14ac:dyDescent="0.25">
      <c r="E26" s="2"/>
      <c r="F26" s="2"/>
      <c r="G26" s="2"/>
    </row>
  </sheetData>
  <sheetProtection sheet="1" objects="1" scenarios="1" selectLockedCells="1"/>
  <mergeCells count="17">
    <mergeCell ref="K1:L8"/>
    <mergeCell ref="A3:B5"/>
    <mergeCell ref="D5:E5"/>
    <mergeCell ref="D1:E1"/>
    <mergeCell ref="D2:E2"/>
    <mergeCell ref="D3:E3"/>
    <mergeCell ref="D4:E4"/>
    <mergeCell ref="F1:G1"/>
    <mergeCell ref="F2:G2"/>
    <mergeCell ref="F3:G3"/>
    <mergeCell ref="F4:G4"/>
    <mergeCell ref="F5:G5"/>
    <mergeCell ref="H1:I1"/>
    <mergeCell ref="H2:I2"/>
    <mergeCell ref="H3:I3"/>
    <mergeCell ref="H4:I4"/>
    <mergeCell ref="H5:I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0</xdr:col>
                <xdr:colOff>200025</xdr:colOff>
                <xdr:row>2</xdr:row>
                <xdr:rowOff>47625</xdr:rowOff>
              </from>
              <to>
                <xdr:col>1</xdr:col>
                <xdr:colOff>419100</xdr:colOff>
                <xdr:row>4</xdr:row>
                <xdr:rowOff>152400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 tint="0.59999389629810485"/>
  </sheetPr>
  <dimension ref="A1:J3"/>
  <sheetViews>
    <sheetView workbookViewId="0">
      <pane ySplit="2" topLeftCell="A3" activePane="bottomLeft" state="frozen"/>
      <selection activeCell="H1" sqref="H1"/>
      <selection pane="bottomLeft" activeCell="H1" sqref="H1"/>
    </sheetView>
  </sheetViews>
  <sheetFormatPr defaultRowHeight="15" x14ac:dyDescent="0.25"/>
  <cols>
    <col min="1" max="1" width="14.28515625" customWidth="1"/>
    <col min="2" max="2" width="15.28515625" customWidth="1"/>
    <col min="3" max="3" width="15.7109375" customWidth="1"/>
    <col min="4" max="4" width="17.5703125" customWidth="1"/>
    <col min="5" max="5" width="23.85546875" customWidth="1"/>
    <col min="6" max="6" width="11.42578125" customWidth="1"/>
    <col min="7" max="7" width="16" customWidth="1"/>
    <col min="8" max="8" width="8.5703125" customWidth="1"/>
    <col min="9" max="9" width="50.85546875" customWidth="1"/>
    <col min="10" max="10" width="11.85546875" customWidth="1"/>
  </cols>
  <sheetData>
    <row r="1" spans="1:10" ht="30" customHeight="1" x14ac:dyDescent="0.25">
      <c r="C1" s="85" t="s">
        <v>12</v>
      </c>
      <c r="D1" s="85"/>
      <c r="E1" s="32" t="s">
        <v>27</v>
      </c>
      <c r="F1" s="33">
        <f>'Input Job'!F2</f>
        <v>0</v>
      </c>
      <c r="G1" s="11" t="s">
        <v>25</v>
      </c>
      <c r="H1" s="47">
        <v>3</v>
      </c>
      <c r="I1" s="28" t="s">
        <v>29</v>
      </c>
      <c r="J1" s="36">
        <f>COUNTIF(Table1[Recently Edited], "Yes")</f>
        <v>0</v>
      </c>
    </row>
    <row r="2" spans="1:10" ht="30.75" customHeigh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28</v>
      </c>
    </row>
    <row r="3" spans="1:10" x14ac:dyDescent="0.25">
      <c r="A3" s="37">
        <v>42648</v>
      </c>
      <c r="B3" s="1" t="s">
        <v>30</v>
      </c>
      <c r="C3" s="1" t="s">
        <v>30</v>
      </c>
      <c r="D3" s="1" t="s">
        <v>30</v>
      </c>
      <c r="E3" s="1" t="s">
        <v>30</v>
      </c>
      <c r="F3" s="1" t="s">
        <v>30</v>
      </c>
      <c r="G3" s="38" t="s">
        <v>30</v>
      </c>
      <c r="H3" s="1" t="s">
        <v>18</v>
      </c>
      <c r="I3" s="1" t="s">
        <v>30</v>
      </c>
      <c r="J3" s="48" t="s">
        <v>31</v>
      </c>
    </row>
  </sheetData>
  <sheetProtection sheet="1" objects="1" scenarios="1" selectLockedCells="1" sort="0" autoFilter="0"/>
  <protectedRanges>
    <protectedRange sqref="A2:J1048576" name="Sort Range" securityDescriptor="O:WDG:WDD:(A;;CC;;;S-1-5-21-682003330-2146849767-1801674531-5154)(A;;CC;;;SU)"/>
  </protectedRanges>
  <mergeCells count="1">
    <mergeCell ref="C1:D1"/>
  </mergeCells>
  <dataValidations count="2">
    <dataValidation type="whole" allowBlank="1" showInputMessage="1" showErrorMessage="1" sqref="H1" xr:uid="{00000000-0002-0000-0100-000000000000}">
      <formula1>3</formula1>
      <formula2>99999</formula2>
    </dataValidation>
    <dataValidation type="list" allowBlank="1" showInputMessage="1" showErrorMessage="1" sqref="J3" xr:uid="{00000000-0002-0000-0100-000001000000}">
      <formula1>"Yes, Reviewed"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75" r:id="rId4" name="CommandButton6">
          <controlPr defaultSize="0" autoLine="0" r:id="rId5">
            <anchor moveWithCells="1">
              <from>
                <xdr:col>8</xdr:col>
                <xdr:colOff>1133475</xdr:colOff>
                <xdr:row>0</xdr:row>
                <xdr:rowOff>0</xdr:rowOff>
              </from>
              <to>
                <xdr:col>8</xdr:col>
                <xdr:colOff>2095500</xdr:colOff>
                <xdr:row>0</xdr:row>
                <xdr:rowOff>361950</xdr:rowOff>
              </to>
            </anchor>
          </controlPr>
        </control>
      </mc:Choice>
      <mc:Fallback>
        <control shapeId="2075" r:id="rId4" name="CommandButton6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8</xdr:col>
                <xdr:colOff>47625</xdr:colOff>
                <xdr:row>0</xdr:row>
                <xdr:rowOff>0</xdr:rowOff>
              </from>
              <to>
                <xdr:col>8</xdr:col>
                <xdr:colOff>990600</xdr:colOff>
                <xdr:row>0</xdr:row>
                <xdr:rowOff>361950</xdr:rowOff>
              </to>
            </anchor>
          </controlPr>
        </control>
      </mc:Choice>
      <mc:Fallback>
        <control shapeId="2049" r:id="rId6" name="CommandButton1"/>
      </mc:Fallback>
    </mc:AlternateContent>
  </controls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4" tint="0.59999389629810485"/>
  </sheetPr>
  <dimension ref="A1:J3"/>
  <sheetViews>
    <sheetView workbookViewId="0">
      <pane ySplit="2" topLeftCell="A3" activePane="bottomLeft" state="frozen"/>
      <selection activeCell="D30" sqref="D30"/>
      <selection pane="bottomLeft" activeCell="H1" sqref="H1"/>
    </sheetView>
  </sheetViews>
  <sheetFormatPr defaultRowHeight="15" x14ac:dyDescent="0.25"/>
  <cols>
    <col min="1" max="1" width="14.28515625" customWidth="1"/>
    <col min="2" max="2" width="15.28515625" customWidth="1"/>
    <col min="3" max="3" width="15.7109375" customWidth="1"/>
    <col min="4" max="4" width="17.5703125" customWidth="1"/>
    <col min="5" max="5" width="23.85546875" customWidth="1"/>
    <col min="6" max="6" width="11.42578125" customWidth="1"/>
    <col min="7" max="7" width="16" customWidth="1"/>
    <col min="8" max="8" width="8.5703125" customWidth="1"/>
    <col min="9" max="9" width="50.85546875" customWidth="1"/>
    <col min="10" max="10" width="11.85546875" customWidth="1"/>
  </cols>
  <sheetData>
    <row r="1" spans="1:10" ht="30" customHeight="1" x14ac:dyDescent="0.25">
      <c r="C1" s="86" t="s">
        <v>13</v>
      </c>
      <c r="D1" s="86"/>
      <c r="E1" s="34" t="s">
        <v>27</v>
      </c>
      <c r="F1" s="35">
        <f>'Input Job'!F3</f>
        <v>0</v>
      </c>
      <c r="G1" s="11" t="s">
        <v>25</v>
      </c>
      <c r="H1" s="47">
        <v>3</v>
      </c>
      <c r="I1" s="28" t="s">
        <v>29</v>
      </c>
      <c r="J1" s="46">
        <f>COUNTIF(Table18[Recently Edited], "Yes")</f>
        <v>0</v>
      </c>
    </row>
    <row r="2" spans="1:10" ht="30.75" customHeigh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28</v>
      </c>
    </row>
    <row r="3" spans="1:10" x14ac:dyDescent="0.25">
      <c r="A3" s="29">
        <v>42703</v>
      </c>
      <c r="B3" s="31" t="s">
        <v>30</v>
      </c>
      <c r="C3" s="31" t="s">
        <v>30</v>
      </c>
      <c r="D3" s="29" t="s">
        <v>30</v>
      </c>
      <c r="E3" s="31" t="s">
        <v>30</v>
      </c>
      <c r="F3" s="31" t="s">
        <v>30</v>
      </c>
      <c r="G3" s="30" t="s">
        <v>30</v>
      </c>
      <c r="H3" s="31" t="s">
        <v>18</v>
      </c>
      <c r="I3" s="31" t="s">
        <v>30</v>
      </c>
      <c r="J3" s="48" t="s">
        <v>31</v>
      </c>
    </row>
  </sheetData>
  <sheetProtection sheet="1" objects="1" scenarios="1" selectLockedCells="1" sort="0" autoFilter="0"/>
  <protectedRanges>
    <protectedRange sqref="A2:J1048576" name="Sort Range" securityDescriptor="O:WDG:WDD:(A;;CC;;;S-1-5-21-682003330-2146849767-1801674531-5154)(A;;CC;;;SU)"/>
  </protectedRanges>
  <mergeCells count="1">
    <mergeCell ref="C1:D1"/>
  </mergeCells>
  <dataValidations count="2">
    <dataValidation type="whole" allowBlank="1" showInputMessage="1" showErrorMessage="1" sqref="H1" xr:uid="{00000000-0002-0000-0200-000000000000}">
      <formula1>3</formula1>
      <formula2>99999</formula2>
    </dataValidation>
    <dataValidation type="list" allowBlank="1" showInputMessage="1" showErrorMessage="1" sqref="J3" xr:uid="{00000000-0002-0000-0200-000001000000}">
      <formula1>"Yes, Reviewed"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1">
          <controlPr defaultSize="0" autoLine="0" r:id="rId4">
            <anchor moveWithCells="1">
              <from>
                <xdr:col>8</xdr:col>
                <xdr:colOff>57150</xdr:colOff>
                <xdr:row>0</xdr:row>
                <xdr:rowOff>0</xdr:rowOff>
              </from>
              <to>
                <xdr:col>8</xdr:col>
                <xdr:colOff>1000125</xdr:colOff>
                <xdr:row>0</xdr:row>
                <xdr:rowOff>361950</xdr:rowOff>
              </to>
            </anchor>
          </controlPr>
        </control>
      </mc:Choice>
      <mc:Fallback>
        <control shapeId="3075" r:id="rId3" name="CommandButton1"/>
      </mc:Fallback>
    </mc:AlternateContent>
    <mc:AlternateContent xmlns:mc="http://schemas.openxmlformats.org/markup-compatibility/2006">
      <mc:Choice Requires="x14">
        <control shapeId="3076" r:id="rId5" name="CommandButton2">
          <controlPr defaultSize="0" autoLine="0" r:id="rId6">
            <anchor moveWithCells="1">
              <from>
                <xdr:col>8</xdr:col>
                <xdr:colOff>1143000</xdr:colOff>
                <xdr:row>0</xdr:row>
                <xdr:rowOff>0</xdr:rowOff>
              </from>
              <to>
                <xdr:col>8</xdr:col>
                <xdr:colOff>2105025</xdr:colOff>
                <xdr:row>0</xdr:row>
                <xdr:rowOff>361950</xdr:rowOff>
              </to>
            </anchor>
          </controlPr>
        </control>
      </mc:Choice>
      <mc:Fallback>
        <control shapeId="3076" r:id="rId5" name="CommandButton2"/>
      </mc:Fallback>
    </mc:AlternateContent>
  </controls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9" tint="0.39997558519241921"/>
  </sheetPr>
  <dimension ref="A1:M3"/>
  <sheetViews>
    <sheetView zoomScaleNormal="100" workbookViewId="0">
      <pane ySplit="1" topLeftCell="A2" activePane="bottomLeft" state="frozen"/>
      <selection activeCell="D30" sqref="D30"/>
      <selection pane="bottomLeft" activeCell="H1" sqref="H1"/>
    </sheetView>
  </sheetViews>
  <sheetFormatPr defaultRowHeight="15" x14ac:dyDescent="0.25"/>
  <cols>
    <col min="1" max="1" width="14.28515625" customWidth="1"/>
    <col min="2" max="2" width="15.28515625" customWidth="1"/>
    <col min="3" max="3" width="15.7109375" customWidth="1"/>
    <col min="4" max="4" width="17.5703125" customWidth="1"/>
    <col min="5" max="5" width="23.85546875" customWidth="1"/>
    <col min="6" max="6" width="11.42578125" customWidth="1"/>
    <col min="7" max="7" width="13.42578125" customWidth="1"/>
    <col min="8" max="9" width="14.28515625" customWidth="1"/>
    <col min="10" max="10" width="16" customWidth="1"/>
    <col min="11" max="11" width="8.5703125" customWidth="1"/>
    <col min="12" max="12" width="50.85546875" customWidth="1"/>
    <col min="13" max="13" width="11.85546875" customWidth="1"/>
  </cols>
  <sheetData>
    <row r="1" spans="1:13" ht="30.75" customHeight="1" x14ac:dyDescent="0.25">
      <c r="C1" s="87" t="s">
        <v>14</v>
      </c>
      <c r="D1" s="87"/>
      <c r="E1" s="44" t="s">
        <v>27</v>
      </c>
      <c r="F1" s="45">
        <f>'Input Job'!F4</f>
        <v>0</v>
      </c>
      <c r="G1" s="11" t="s">
        <v>25</v>
      </c>
      <c r="H1" s="47">
        <v>3</v>
      </c>
      <c r="L1" s="28" t="s">
        <v>29</v>
      </c>
      <c r="M1" s="43">
        <f>COUNTIF(Table16[Recently Edited], "Yes")</f>
        <v>0</v>
      </c>
    </row>
    <row r="2" spans="1:13" ht="30.75" customHeigh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9</v>
      </c>
      <c r="H2" s="1" t="s">
        <v>10</v>
      </c>
      <c r="I2" s="1" t="s">
        <v>11</v>
      </c>
      <c r="J2" s="1" t="s">
        <v>6</v>
      </c>
      <c r="K2" s="1" t="s">
        <v>7</v>
      </c>
      <c r="L2" s="1" t="s">
        <v>8</v>
      </c>
      <c r="M2" s="1" t="s">
        <v>28</v>
      </c>
    </row>
    <row r="3" spans="1:13" x14ac:dyDescent="0.25">
      <c r="A3" s="29">
        <v>42703</v>
      </c>
      <c r="B3" s="31" t="s">
        <v>30</v>
      </c>
      <c r="C3" s="31" t="s">
        <v>30</v>
      </c>
      <c r="D3" s="31" t="s">
        <v>30</v>
      </c>
      <c r="E3" s="31" t="s">
        <v>30</v>
      </c>
      <c r="F3" s="31" t="s">
        <v>30</v>
      </c>
      <c r="G3" s="31" t="s">
        <v>30</v>
      </c>
      <c r="H3" s="29">
        <v>42703</v>
      </c>
      <c r="I3" s="29" t="s">
        <v>30</v>
      </c>
      <c r="J3" s="30" t="s">
        <v>30</v>
      </c>
      <c r="K3" s="31" t="s">
        <v>18</v>
      </c>
      <c r="L3" s="39" t="s">
        <v>30</v>
      </c>
      <c r="M3" s="49" t="s">
        <v>31</v>
      </c>
    </row>
  </sheetData>
  <sheetProtection sheet="1" objects="1" scenarios="1" selectLockedCells="1" sort="0" autoFilter="0"/>
  <protectedRanges>
    <protectedRange sqref="A2:M1048576" name="Sort Range" securityDescriptor="O:WDG:WDD:(A;;CC;;;S-1-5-21-682003330-2146849767-1801674531-5154)(A;;CC;;;SU)"/>
  </protectedRanges>
  <mergeCells count="1">
    <mergeCell ref="C1:D1"/>
  </mergeCells>
  <dataValidations count="2">
    <dataValidation type="whole" allowBlank="1" showInputMessage="1" showErrorMessage="1" sqref="H1" xr:uid="{00000000-0002-0000-0300-000000000000}">
      <formula1>3</formula1>
      <formula2>99999</formula2>
    </dataValidation>
    <dataValidation type="list" allowBlank="1" showInputMessage="1" showErrorMessage="1" sqref="M3" xr:uid="{00000000-0002-0000-0300-000001000000}">
      <formula1>"Yes, Reviewed"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ommandButton1">
          <controlPr defaultSize="0" autoLine="0" r:id="rId4">
            <anchor moveWithCells="1">
              <from>
                <xdr:col>8</xdr:col>
                <xdr:colOff>19050</xdr:colOff>
                <xdr:row>0</xdr:row>
                <xdr:rowOff>0</xdr:rowOff>
              </from>
              <to>
                <xdr:col>9</xdr:col>
                <xdr:colOff>9525</xdr:colOff>
                <xdr:row>0</xdr:row>
                <xdr:rowOff>361950</xdr:rowOff>
              </to>
            </anchor>
          </controlPr>
        </control>
      </mc:Choice>
      <mc:Fallback>
        <control shapeId="4105" r:id="rId3" name="CommandButton1"/>
      </mc:Fallback>
    </mc:AlternateContent>
    <mc:AlternateContent xmlns:mc="http://schemas.openxmlformats.org/markup-compatibility/2006">
      <mc:Choice Requires="x14">
        <control shapeId="4106" r:id="rId5" name="CommandButton2">
          <controlPr defaultSize="0" autoLine="0" r:id="rId6">
            <anchor moveWithCells="1">
              <from>
                <xdr:col>9</xdr:col>
                <xdr:colOff>66675</xdr:colOff>
                <xdr:row>0</xdr:row>
                <xdr:rowOff>0</xdr:rowOff>
              </from>
              <to>
                <xdr:col>9</xdr:col>
                <xdr:colOff>1028700</xdr:colOff>
                <xdr:row>0</xdr:row>
                <xdr:rowOff>361950</xdr:rowOff>
              </to>
            </anchor>
          </controlPr>
        </control>
      </mc:Choice>
      <mc:Fallback>
        <control shapeId="4106" r:id="rId5" name="CommandButton2"/>
      </mc:Fallback>
    </mc:AlternateContent>
  </controls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0.59999389629810485"/>
  </sheetPr>
  <dimension ref="A1:J3"/>
  <sheetViews>
    <sheetView workbookViewId="0">
      <pane ySplit="2" topLeftCell="A3" activePane="bottomLeft" state="frozen"/>
      <selection activeCell="D30" sqref="D30"/>
      <selection pane="bottomLeft" activeCell="H1" sqref="H1"/>
    </sheetView>
  </sheetViews>
  <sheetFormatPr defaultRowHeight="15" x14ac:dyDescent="0.25"/>
  <cols>
    <col min="1" max="1" width="14.28515625" customWidth="1"/>
    <col min="2" max="2" width="15.28515625" customWidth="1"/>
    <col min="3" max="3" width="15.7109375" customWidth="1"/>
    <col min="4" max="4" width="17.5703125" customWidth="1"/>
    <col min="5" max="5" width="23.85546875" customWidth="1"/>
    <col min="6" max="6" width="11.42578125" customWidth="1"/>
    <col min="7" max="7" width="16" customWidth="1"/>
    <col min="8" max="8" width="8.5703125" customWidth="1"/>
    <col min="9" max="9" width="50.85546875" customWidth="1"/>
    <col min="10" max="10" width="11.85546875" customWidth="1"/>
  </cols>
  <sheetData>
    <row r="1" spans="1:10" ht="30.75" customHeight="1" x14ac:dyDescent="0.25">
      <c r="C1" s="88" t="s">
        <v>15</v>
      </c>
      <c r="D1" s="88"/>
      <c r="E1" s="41" t="s">
        <v>27</v>
      </c>
      <c r="F1" s="42">
        <f>'Input Job'!F5</f>
        <v>0</v>
      </c>
      <c r="G1" s="11" t="s">
        <v>25</v>
      </c>
      <c r="H1" s="47">
        <v>3</v>
      </c>
      <c r="I1" s="28" t="s">
        <v>29</v>
      </c>
      <c r="J1" s="40">
        <f>COUNTIF(Table17[Recently Edited], "Yes")</f>
        <v>0</v>
      </c>
    </row>
    <row r="2" spans="1:10" ht="30" customHeight="1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28</v>
      </c>
    </row>
    <row r="3" spans="1:10" x14ac:dyDescent="0.25">
      <c r="A3" s="29">
        <v>42703</v>
      </c>
      <c r="B3" s="31" t="s">
        <v>30</v>
      </c>
      <c r="C3" s="31" t="s">
        <v>30</v>
      </c>
      <c r="D3" s="31" t="s">
        <v>30</v>
      </c>
      <c r="E3" s="31" t="s">
        <v>30</v>
      </c>
      <c r="F3" s="31" t="s">
        <v>30</v>
      </c>
      <c r="G3" s="30" t="s">
        <v>30</v>
      </c>
      <c r="H3" s="31" t="s">
        <v>18</v>
      </c>
      <c r="I3" s="31" t="s">
        <v>30</v>
      </c>
      <c r="J3" s="48" t="s">
        <v>31</v>
      </c>
    </row>
  </sheetData>
  <sheetProtection sheet="1" objects="1" scenarios="1" selectLockedCells="1" sort="0" autoFilter="0"/>
  <protectedRanges>
    <protectedRange sqref="A2:J1048576" name="Sort Range" securityDescriptor="O:WDG:WDD:(A;;CC;;;S-1-5-21-682003330-2146849767-1801674531-5154)(A;;CC;;;SU)"/>
  </protectedRanges>
  <mergeCells count="1">
    <mergeCell ref="C1:D1"/>
  </mergeCells>
  <dataValidations count="2">
    <dataValidation type="whole" allowBlank="1" showInputMessage="1" showErrorMessage="1" sqref="H1" xr:uid="{00000000-0002-0000-0400-000000000000}">
      <formula1>3</formula1>
      <formula2>99999</formula2>
    </dataValidation>
    <dataValidation type="list" allowBlank="1" showInputMessage="1" showErrorMessage="1" sqref="J3" xr:uid="{00000000-0002-0000-0400-000001000000}">
      <formula1>"Yes, Reviewed"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5" r:id="rId3" name="CommandButton1">
          <controlPr defaultSize="0" autoLine="0" r:id="rId4">
            <anchor moveWithCells="1">
              <from>
                <xdr:col>8</xdr:col>
                <xdr:colOff>47625</xdr:colOff>
                <xdr:row>0</xdr:row>
                <xdr:rowOff>0</xdr:rowOff>
              </from>
              <to>
                <xdr:col>8</xdr:col>
                <xdr:colOff>990600</xdr:colOff>
                <xdr:row>0</xdr:row>
                <xdr:rowOff>361950</xdr:rowOff>
              </to>
            </anchor>
          </controlPr>
        </control>
      </mc:Choice>
      <mc:Fallback>
        <control shapeId="5125" r:id="rId3" name="CommandButton1"/>
      </mc:Fallback>
    </mc:AlternateContent>
    <mc:AlternateContent xmlns:mc="http://schemas.openxmlformats.org/markup-compatibility/2006">
      <mc:Choice Requires="x14">
        <control shapeId="5126" r:id="rId5" name="CommandButton2">
          <controlPr defaultSize="0" autoLine="0" r:id="rId6">
            <anchor moveWithCells="1">
              <from>
                <xdr:col>8</xdr:col>
                <xdr:colOff>1133475</xdr:colOff>
                <xdr:row>0</xdr:row>
                <xdr:rowOff>0</xdr:rowOff>
              </from>
              <to>
                <xdr:col>8</xdr:col>
                <xdr:colOff>2095500</xdr:colOff>
                <xdr:row>0</xdr:row>
                <xdr:rowOff>361950</xdr:rowOff>
              </to>
            </anchor>
          </controlPr>
        </control>
      </mc:Choice>
      <mc:Fallback>
        <control shapeId="5126" r:id="rId5" name="CommandButton2"/>
      </mc:Fallback>
    </mc:AlternateContent>
  </controls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 Job</vt:lpstr>
      <vt:lpstr>Projects</vt:lpstr>
      <vt:lpstr>Quoted Service</vt:lpstr>
      <vt:lpstr>Maintenance</vt:lpstr>
      <vt:lpstr>Automation</vt:lpstr>
      <vt:lpstr>Item1</vt:lpstr>
      <vt:lpstr>Item2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Hollabaugh</dc:creator>
  <cp:lastModifiedBy>Seb Hollabaugh</cp:lastModifiedBy>
  <dcterms:created xsi:type="dcterms:W3CDTF">2016-10-03T14:44:03Z</dcterms:created>
  <dcterms:modified xsi:type="dcterms:W3CDTF">2020-08-17T20:16:22Z</dcterms:modified>
</cp:coreProperties>
</file>