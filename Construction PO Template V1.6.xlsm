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drawings/drawing2.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2.xml" ContentType="application/vnd.ms-excel.controlproperties+xml"/>
  <Override PartName="/xl/drawings/drawing3.xml" ContentType="application/vnd.openxmlformats-officedocument.drawing+xml"/>
  <Override PartName="/xl/activeX/activeX17.xml" ContentType="application/vnd.ms-office.activeX+xml"/>
  <Override PartName="/xl/activeX/activeX1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C:\Users\sebul\Desktop\"/>
    </mc:Choice>
  </mc:AlternateContent>
  <xr:revisionPtr revIDLastSave="0" documentId="13_ncr:1_{F5D3C7F3-552B-4629-9FA6-2979FAED8EB8}" xr6:coauthVersionLast="45" xr6:coauthVersionMax="45" xr10:uidLastSave="{00000000-0000-0000-0000-000000000000}"/>
  <bookViews>
    <workbookView xWindow="-28920" yWindow="-120" windowWidth="29040" windowHeight="15840" xr2:uid="{00000000-000D-0000-FFFF-FFFF00000000}"/>
  </bookViews>
  <sheets>
    <sheet name="PO Cover" sheetId="2" r:id="rId1"/>
    <sheet name="Signature" sheetId="25" r:id="rId2"/>
    <sheet name="General" sheetId="10" state="hidden" r:id="rId3"/>
    <sheet name="Instructions" sheetId="12" state="hidden" r:id="rId4"/>
    <sheet name="Pricing" sheetId="14" r:id="rId5"/>
    <sheet name="Change Order" sheetId="19" state="hidden" r:id="rId6"/>
    <sheet name="CO Riders" sheetId="22" state="hidden" r:id="rId7"/>
    <sheet name="Change Order Log" sheetId="17" state="hidden" r:id="rId8"/>
    <sheet name="CO Autofill" sheetId="18" state="hidden" r:id="rId9"/>
    <sheet name="AutoFill" sheetId="9" state="hidden" r:id="rId10"/>
  </sheets>
  <definedNames>
    <definedName name="_xlnm.Print_Area" localSheetId="5">'Change Order'!$A$1:$I$55</definedName>
    <definedName name="_xlnm.Print_Area" localSheetId="6">'CO Riders'!$A$1:$J$46</definedName>
    <definedName name="_xlnm.Print_Area" localSheetId="0">'PO Cover'!$A$1:$I$58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 i="2" l="1"/>
  <c r="B25" i="2" l="1"/>
  <c r="A14" i="25" l="1"/>
  <c r="A10" i="17"/>
  <c r="B10" i="17"/>
  <c r="C10" i="17"/>
  <c r="D10" i="17"/>
  <c r="A11" i="17"/>
  <c r="B11" i="17"/>
  <c r="C11" i="17"/>
  <c r="D11" i="17"/>
  <c r="A12" i="17"/>
  <c r="B12" i="17"/>
  <c r="C12" i="17"/>
  <c r="D12" i="17"/>
  <c r="A13" i="17"/>
  <c r="B13" i="17"/>
  <c r="C13" i="17"/>
  <c r="D13" i="17"/>
  <c r="A14" i="17"/>
  <c r="B14" i="17"/>
  <c r="C14" i="17"/>
  <c r="D14" i="17"/>
  <c r="A15" i="17"/>
  <c r="B15" i="17"/>
  <c r="C15" i="17"/>
  <c r="D15" i="17"/>
  <c r="A16" i="17"/>
  <c r="B16" i="17"/>
  <c r="C16" i="17"/>
  <c r="D16" i="17"/>
  <c r="A17" i="17"/>
  <c r="B17" i="17"/>
  <c r="C17" i="17"/>
  <c r="D17" i="17"/>
  <c r="A18" i="17"/>
  <c r="B18" i="17"/>
  <c r="C18" i="17"/>
  <c r="D18" i="17"/>
  <c r="A19" i="17"/>
  <c r="B19" i="17"/>
  <c r="C19" i="17"/>
  <c r="D19" i="17"/>
  <c r="A20" i="17"/>
  <c r="B20" i="17"/>
  <c r="C20" i="17"/>
  <c r="D20" i="17"/>
  <c r="A21" i="17"/>
  <c r="B21" i="17"/>
  <c r="C21" i="17"/>
  <c r="D21" i="17"/>
  <c r="A22" i="17"/>
  <c r="B22" i="17"/>
  <c r="C22" i="17"/>
  <c r="D22" i="17"/>
  <c r="A23" i="17"/>
  <c r="B23" i="17"/>
  <c r="C23" i="17"/>
  <c r="D23" i="17"/>
  <c r="A24" i="17"/>
  <c r="B24" i="17"/>
  <c r="C24" i="17"/>
  <c r="D24" i="17"/>
  <c r="A25" i="17"/>
  <c r="B25" i="17"/>
  <c r="C25" i="17"/>
  <c r="D25" i="17"/>
  <c r="A26" i="17"/>
  <c r="B26" i="17"/>
  <c r="C26" i="17"/>
  <c r="D26" i="17"/>
  <c r="A27" i="17"/>
  <c r="B27" i="17"/>
  <c r="C27" i="17"/>
  <c r="D27" i="17"/>
  <c r="A28" i="17"/>
  <c r="B28" i="17"/>
  <c r="C28" i="17"/>
  <c r="D28" i="17"/>
  <c r="A29" i="17"/>
  <c r="B29" i="17"/>
  <c r="C29" i="17"/>
  <c r="D29" i="17"/>
  <c r="A30" i="17"/>
  <c r="B30" i="17"/>
  <c r="C30" i="17"/>
  <c r="D30" i="17"/>
  <c r="A31" i="17"/>
  <c r="B31" i="17"/>
  <c r="C31" i="17"/>
  <c r="D31" i="17"/>
  <c r="A32" i="17"/>
  <c r="B32" i="17"/>
  <c r="C32" i="17"/>
  <c r="D32" i="17"/>
  <c r="A33" i="17"/>
  <c r="B33" i="17"/>
  <c r="C33" i="17"/>
  <c r="D33" i="17"/>
  <c r="A34" i="17"/>
  <c r="B34" i="17"/>
  <c r="C34" i="17"/>
  <c r="D34" i="17"/>
  <c r="A35" i="17"/>
  <c r="B35" i="17"/>
  <c r="C35" i="17"/>
  <c r="D35" i="17"/>
  <c r="A36" i="17"/>
  <c r="B36" i="17"/>
  <c r="C36" i="17"/>
  <c r="D36" i="17"/>
  <c r="A37" i="17"/>
  <c r="B37" i="17"/>
  <c r="C37" i="17"/>
  <c r="D37" i="17"/>
  <c r="A38" i="17"/>
  <c r="B38" i="17"/>
  <c r="C38" i="17"/>
  <c r="D38" i="17"/>
  <c r="A39" i="17"/>
  <c r="B39" i="17"/>
  <c r="C39" i="17"/>
  <c r="D39" i="17"/>
  <c r="A40" i="17"/>
  <c r="B40" i="17"/>
  <c r="C40" i="17"/>
  <c r="D40" i="17"/>
  <c r="A41" i="17"/>
  <c r="B41" i="17"/>
  <c r="C41" i="17"/>
  <c r="D41" i="17"/>
  <c r="I5" i="19"/>
  <c r="A24" i="2"/>
  <c r="A1" i="14"/>
  <c r="D27" i="14"/>
  <c r="D28" i="14"/>
  <c r="D29" i="14"/>
  <c r="D22" i="14"/>
  <c r="D23" i="14"/>
  <c r="D24" i="14"/>
  <c r="B31" i="19"/>
  <c r="H3" i="9" l="1"/>
  <c r="AW2" i="18"/>
  <c r="E5" i="22"/>
  <c r="E4" i="22"/>
  <c r="C9" i="17"/>
  <c r="B9" i="17"/>
  <c r="A9" i="17"/>
  <c r="G2" i="19" s="1"/>
  <c r="C5" i="17"/>
  <c r="C4" i="17"/>
  <c r="A1" i="17"/>
  <c r="A5" i="17" s="1"/>
  <c r="H54" i="19"/>
  <c r="F54" i="19"/>
  <c r="H53" i="19"/>
  <c r="A48" i="19"/>
  <c r="C46" i="19"/>
  <c r="B46" i="19" s="1"/>
  <c r="C45" i="19"/>
  <c r="F44" i="19"/>
  <c r="B44" i="19"/>
  <c r="A44" i="19"/>
  <c r="F43" i="19"/>
  <c r="B43" i="19"/>
  <c r="A43" i="19"/>
  <c r="F42" i="19"/>
  <c r="B42" i="19"/>
  <c r="A42" i="19"/>
  <c r="F41" i="19"/>
  <c r="B41" i="19"/>
  <c r="A41" i="19"/>
  <c r="F40" i="19"/>
  <c r="B40" i="19"/>
  <c r="A40" i="19"/>
  <c r="F39" i="19"/>
  <c r="B39" i="19"/>
  <c r="A39" i="19"/>
  <c r="F38" i="19"/>
  <c r="B38" i="19"/>
  <c r="A38" i="19"/>
  <c r="F37" i="19"/>
  <c r="B37" i="19"/>
  <c r="A37" i="19"/>
  <c r="F36" i="19"/>
  <c r="B36" i="19"/>
  <c r="A36" i="19"/>
  <c r="F35" i="19"/>
  <c r="B35" i="19"/>
  <c r="A35" i="19"/>
  <c r="F34" i="19"/>
  <c r="B34" i="19"/>
  <c r="A34" i="19"/>
  <c r="F33" i="19"/>
  <c r="B33" i="19"/>
  <c r="A33" i="19"/>
  <c r="F32" i="19"/>
  <c r="B32" i="19"/>
  <c r="A32" i="19"/>
  <c r="F31" i="19"/>
  <c r="A31" i="19"/>
  <c r="F30" i="19"/>
  <c r="B30" i="19"/>
  <c r="A30" i="19"/>
  <c r="I15" i="19"/>
  <c r="D15" i="19"/>
  <c r="B15" i="19"/>
  <c r="G13" i="19"/>
  <c r="C13" i="19"/>
  <c r="G11" i="19"/>
  <c r="B11" i="19"/>
  <c r="B10" i="19"/>
  <c r="B9" i="19"/>
  <c r="G8" i="19"/>
  <c r="B8" i="19"/>
  <c r="G7" i="19"/>
  <c r="B7" i="19"/>
  <c r="I4" i="19"/>
  <c r="I2" i="19"/>
  <c r="G1" i="19"/>
  <c r="A17" i="19" s="1"/>
  <c r="C35" i="14"/>
  <c r="D32" i="14"/>
  <c r="D31" i="14"/>
  <c r="D30" i="14"/>
  <c r="D26" i="14"/>
  <c r="D25" i="14"/>
  <c r="D21" i="14"/>
  <c r="D20" i="14"/>
  <c r="D19" i="14"/>
  <c r="D18" i="14"/>
  <c r="D17" i="14"/>
  <c r="D16" i="14"/>
  <c r="D15" i="14"/>
  <c r="D14" i="14"/>
  <c r="D13" i="14"/>
  <c r="D12" i="14"/>
  <c r="D11" i="14"/>
  <c r="D10" i="14"/>
  <c r="D9" i="14"/>
  <c r="D8" i="14"/>
  <c r="D7" i="14"/>
  <c r="D6" i="14"/>
  <c r="D5" i="14"/>
  <c r="D4" i="14"/>
  <c r="D1" i="14"/>
  <c r="F57" i="2"/>
  <c r="H56" i="2"/>
  <c r="A38" i="2"/>
  <c r="A16" i="2"/>
  <c r="B14" i="2"/>
  <c r="G9" i="2"/>
  <c r="G10" i="19" s="1"/>
  <c r="G8" i="2"/>
  <c r="G9" i="19" s="1"/>
  <c r="D34" i="14" l="1"/>
  <c r="H55" i="2" s="1"/>
  <c r="AX2" i="18"/>
  <c r="AY2" i="18" s="1"/>
  <c r="D9" i="17" s="1"/>
  <c r="G54" i="19"/>
  <c r="D35" i="14"/>
  <c r="D36" i="14" s="1"/>
  <c r="B30" i="22"/>
  <c r="B11" i="22"/>
  <c r="C45" i="17"/>
  <c r="H32" i="19"/>
  <c r="H36" i="19"/>
  <c r="H40" i="19"/>
  <c r="H44" i="19"/>
  <c r="H33" i="19"/>
  <c r="H37" i="19"/>
  <c r="H41" i="19"/>
  <c r="H31" i="19"/>
  <c r="H35" i="19"/>
  <c r="H43" i="19"/>
  <c r="H39" i="19"/>
  <c r="H30" i="19"/>
  <c r="H34" i="19"/>
  <c r="H38" i="19"/>
  <c r="H42" i="19"/>
  <c r="G57" i="2"/>
  <c r="F45" i="19"/>
  <c r="D45" i="17" l="1"/>
  <c r="D44" i="17" s="1"/>
  <c r="H50" i="19" s="1"/>
  <c r="H57" i="2"/>
  <c r="H45" i="19"/>
  <c r="D46" i="19" s="1"/>
  <c r="H51" i="19" l="1"/>
  <c r="H2" i="9"/>
  <c r="H46" i="19"/>
  <c r="H58" i="2" l="1"/>
  <c r="D43" i="17" s="1"/>
  <c r="H49" i="19" s="1"/>
  <c r="D46" i="17" l="1"/>
  <c r="H52" i="19" s="1"/>
  <c r="H55" i="19" l="1"/>
</calcChain>
</file>

<file path=xl/sharedStrings.xml><?xml version="1.0" encoding="utf-8"?>
<sst xmlns="http://schemas.openxmlformats.org/spreadsheetml/2006/main" count="274" uniqueCount="201">
  <si>
    <t>PO #:</t>
  </si>
  <si>
    <t>Code:</t>
  </si>
  <si>
    <t>Category:</t>
  </si>
  <si>
    <t>To:</t>
  </si>
  <si>
    <t>Attn:</t>
  </si>
  <si>
    <t>Ship To:</t>
  </si>
  <si>
    <t>Date:</t>
  </si>
  <si>
    <t>By:</t>
  </si>
  <si>
    <t>Job Name:</t>
  </si>
  <si>
    <t>&lt;Enter Company Name&gt;</t>
  </si>
  <si>
    <t>&lt;Line 1 of Address&gt;</t>
  </si>
  <si>
    <t>&lt;Line 2 of Address&gt;</t>
  </si>
  <si>
    <t>&lt;City, State, Zip&gt;</t>
  </si>
  <si>
    <t>&lt;Attn&gt;</t>
  </si>
  <si>
    <t>Ship Via:</t>
  </si>
  <si>
    <t>Ship Terms:</t>
  </si>
  <si>
    <t>SUBCONTRACT</t>
  </si>
  <si>
    <t>PURCHASE ORDER</t>
  </si>
  <si>
    <t>TYPE</t>
  </si>
  <si>
    <t>DESCRIPTION 1</t>
  </si>
  <si>
    <t>General PO Instructions</t>
  </si>
  <si>
    <t xml:space="preserve">All communication should be directed to: </t>
  </si>
  <si>
    <t>Phone Number:</t>
  </si>
  <si>
    <t>E-mail Address:</t>
  </si>
  <si>
    <t>ATTENTION: It is essential that our Project Manager or assistant be given (48) hours notice prior to attempting delivery. Failure to do so may result in delayed off-loading or rejection of shipment.</t>
  </si>
  <si>
    <t>Forward Product submittal data (in .pdf format) "For Approval" to the attention of our Project Manager within (5 ) days of the receipt of this order</t>
  </si>
  <si>
    <t>Hold for fabrication and delivery until submittals have been approved and you have been formally released.</t>
  </si>
  <si>
    <t>Forward Installation, Operation, and Maintenance Manuals (in .pdf format) two weeks prior to shipment. Final payment will not be released until proper information is received.</t>
  </si>
  <si>
    <t>PRICING SUMMARY</t>
  </si>
  <si>
    <t>Qty</t>
  </si>
  <si>
    <t>Description</t>
  </si>
  <si>
    <t>Ea</t>
  </si>
  <si>
    <t>Total</t>
  </si>
  <si>
    <t>Freight</t>
  </si>
  <si>
    <t>PA</t>
  </si>
  <si>
    <t>Phila</t>
  </si>
  <si>
    <t>TOTAL PRICE</t>
  </si>
  <si>
    <t>NJ</t>
  </si>
  <si>
    <t>Exempt</t>
  </si>
  <si>
    <t>ALTERNATES (Exclusive of tax and freight)</t>
  </si>
  <si>
    <t>Alt #</t>
  </si>
  <si>
    <t>UNIT PRICES</t>
  </si>
  <si>
    <t>U.P. Description</t>
  </si>
  <si>
    <t>Each</t>
  </si>
  <si>
    <t>Tax</t>
  </si>
  <si>
    <t>Amount</t>
  </si>
  <si>
    <t>DESCRIPTION 2</t>
  </si>
  <si>
    <t>SUBCONTRACTOR shall perform all of the work provided for herein in accordance with, and subject to, all of the terms and conditions set forth in this PURCHASE ORDER (including the Riders and attachments referenced herein and attached hereto) and the MASTER STANDING SUBCONTRACT between CONTRACTOR and SUBCONTRACTOR in effect at the date of this PURCHASE ORDER. The MASTER STANDING SUBCONTRACT, taken together with this PURCHASE ORDER, and the other CONTRACT DOCUMENTS for this project, shall constitute the entire agreement between CONTRACTOR and SUBCONTRACTOR with respect to this project (hereinafter referred to as the “SUBCONTRACT”)</t>
  </si>
  <si>
    <t>OTHER ATTACHMENTS</t>
  </si>
  <si>
    <t>PRICE BREAKDOWN (WITH ALTERNATES AND UNIT PRICINGS)</t>
  </si>
  <si>
    <t>TAX EXEMPTION CERTIFICATE</t>
  </si>
  <si>
    <t>OTHER 1</t>
  </si>
  <si>
    <t>OTHER 2</t>
  </si>
  <si>
    <t>GENERAL TERMS &amp; CONDITIONS</t>
  </si>
  <si>
    <t>PURCHASE ORDER INSTRUCTIONS</t>
  </si>
  <si>
    <t>&lt;OTHER&gt;</t>
  </si>
  <si>
    <t>RIDER E</t>
  </si>
  <si>
    <t>RIDER F</t>
  </si>
  <si>
    <t>RIDER "E" ADDITIONAL TERMS AND CONDITIONS</t>
  </si>
  <si>
    <t>RIDER "F" SHIPPING TERMS</t>
  </si>
  <si>
    <t>RIDER "E" INSURANCE REQUIREMENTS</t>
  </si>
  <si>
    <t>RIDER "F" RELEASE AND WAIVER OF LIENS</t>
  </si>
  <si>
    <t xml:space="preserve">Furnish the following per this order: </t>
  </si>
  <si>
    <t>GRAND TOTAL</t>
  </si>
  <si>
    <t>Total price less freight and tax</t>
  </si>
  <si>
    <t>&lt;Enter Brief Description here&gt;</t>
  </si>
  <si>
    <t>bottom</t>
  </si>
  <si>
    <t>&lt;Enter breif description here&gt;</t>
  </si>
  <si>
    <t>&lt;Enter brief description here&gt;</t>
  </si>
  <si>
    <t>SALES TAX :</t>
  </si>
  <si>
    <t>Place</t>
  </si>
  <si>
    <t>Address</t>
  </si>
  <si>
    <t>City</t>
  </si>
  <si>
    <t>Fabrication Shop</t>
  </si>
  <si>
    <t>Office</t>
  </si>
  <si>
    <t>Best Way</t>
  </si>
  <si>
    <t>FOB Dest Frght Prepaid Allwd</t>
  </si>
  <si>
    <t>&lt;Job Name&gt;</t>
  </si>
  <si>
    <t>&lt;Written By&gt;</t>
  </si>
  <si>
    <t xml:space="preserve"> </t>
  </si>
  <si>
    <t>tax exemption</t>
  </si>
  <si>
    <t>SU</t>
  </si>
  <si>
    <t>EQ</t>
  </si>
  <si>
    <t>MA</t>
  </si>
  <si>
    <t>GC</t>
  </si>
  <si>
    <t>Common Carrier</t>
  </si>
  <si>
    <t>Next Day</t>
  </si>
  <si>
    <t>2nd Day</t>
  </si>
  <si>
    <t>Priority</t>
  </si>
  <si>
    <t>FOB Ship Pt Frght Prpd Allwd</t>
  </si>
  <si>
    <t>FOB Dest Frght Prpd and Added</t>
  </si>
  <si>
    <t>FOB Shp Pt Frght Prpd and Added</t>
  </si>
  <si>
    <t>FOB Shp Pt Frght Collect</t>
  </si>
  <si>
    <t>FOB Shp Pt Pick Up</t>
  </si>
  <si>
    <t>FOB Dest Frght Collect</t>
  </si>
  <si>
    <t>Approval Required</t>
  </si>
  <si>
    <t>This is an original Purchase Order. It is an offer to purchase goods from a seller (VENDOR) as described herein, and in the following attachments, which include General Terms and Conditions, and PO Instructions. All PO's over $200,000 must include Riders A thru F and must be approved by the V.P. of Preconstruction.</t>
  </si>
  <si>
    <t xml:space="preserve">SUBCONTRACTOR does hereby promise and agree to furnish all of the necessary office support, labor, materials, tools, equipment and supplies, together with any other items, necessary or incidental to the performance of the work described herein, and in the attachments listed below and attached hereto. All subcontracts over $500,000 must include Riders A thru G and must be approved by V.P. of Preconstruction. </t>
  </si>
  <si>
    <t>Coordinate deliveries, crating, and equipment/material tagging with Project Manager. All shipments shall include equipment tagging or Burns purchase order number on the exterior of the packaging.</t>
  </si>
  <si>
    <t>IMPORTANT NOTICE - This PURCHASE ORDER (including the General Terms and Conditions, Riders and attachments referenced herein and attached hereto) and the other CONTRACT DOCUMENTS taken together embodies the entire agreement between the parties with respect to this project and supercedes any prior proposals, negotiations, or communications, and is placed subject to the Terms and Conditions herein stated, including any contained in any documents made a part hereof by Burns Mechanical (the "COMPANY") by attachment or referencing and no agreement or understanding in any way modifying the Terms and Conditions herein stated shall be binding upon the COMPANY unless acceptance there of has been signed by a COMPANY Officer. this PURCHASE ORDER constitutes an offer which shall be deemed accepted by VENDOR'S acknowledgement or other suitable means of communication or providing the work hereunder.</t>
  </si>
  <si>
    <t>CO#</t>
  </si>
  <si>
    <t>Price</t>
  </si>
  <si>
    <t>Total Revised Contract Amount</t>
  </si>
  <si>
    <t>Original Contract Amount</t>
  </si>
  <si>
    <t>Previous Change Orders</t>
  </si>
  <si>
    <t>This Change: Change Order #</t>
  </si>
  <si>
    <t>CO#:</t>
  </si>
  <si>
    <t>Attachments</t>
  </si>
  <si>
    <t>Column1</t>
  </si>
  <si>
    <t>This Change Order</t>
  </si>
  <si>
    <t>qty1</t>
  </si>
  <si>
    <t>des1</t>
  </si>
  <si>
    <t>price1</t>
  </si>
  <si>
    <t>qty2</t>
  </si>
  <si>
    <t>des2</t>
  </si>
  <si>
    <t>price2</t>
  </si>
  <si>
    <t>qty3</t>
  </si>
  <si>
    <t>des3</t>
  </si>
  <si>
    <t>price3</t>
  </si>
  <si>
    <t>qty4</t>
  </si>
  <si>
    <t>des4</t>
  </si>
  <si>
    <t>price4</t>
  </si>
  <si>
    <t>qty5</t>
  </si>
  <si>
    <t>des5</t>
  </si>
  <si>
    <t>price5</t>
  </si>
  <si>
    <t>qty6</t>
  </si>
  <si>
    <t>des6</t>
  </si>
  <si>
    <t>price6</t>
  </si>
  <si>
    <t>qty7</t>
  </si>
  <si>
    <t>des7</t>
  </si>
  <si>
    <t>price7</t>
  </si>
  <si>
    <t>qty8</t>
  </si>
  <si>
    <t>des8</t>
  </si>
  <si>
    <t>price8</t>
  </si>
  <si>
    <t>qty9</t>
  </si>
  <si>
    <t>des9</t>
  </si>
  <si>
    <t>price9</t>
  </si>
  <si>
    <t>qty10</t>
  </si>
  <si>
    <t>des10</t>
  </si>
  <si>
    <t>price10</t>
  </si>
  <si>
    <t>qty11</t>
  </si>
  <si>
    <t>des11</t>
  </si>
  <si>
    <t>price11</t>
  </si>
  <si>
    <t>qty12</t>
  </si>
  <si>
    <t>des12</t>
  </si>
  <si>
    <t>price12</t>
  </si>
  <si>
    <t>qty13</t>
  </si>
  <si>
    <t>des13</t>
  </si>
  <si>
    <t>price13</t>
  </si>
  <si>
    <t>qty14</t>
  </si>
  <si>
    <t>des14</t>
  </si>
  <si>
    <t>price14</t>
  </si>
  <si>
    <t>qty15</t>
  </si>
  <si>
    <t>des15</t>
  </si>
  <si>
    <t>price15</t>
  </si>
  <si>
    <t>Subtotal</t>
  </si>
  <si>
    <t>Tax2</t>
  </si>
  <si>
    <t>Tax:</t>
  </si>
  <si>
    <t>Freight:</t>
  </si>
  <si>
    <t>Grand Total</t>
  </si>
  <si>
    <t>Rider "A" SCOPE OF WORK and RIDER "B" CONTRACT DOCUMENTS</t>
  </si>
  <si>
    <t>Change Order Log</t>
  </si>
  <si>
    <t>PO#</t>
  </si>
  <si>
    <t>Brief Des</t>
  </si>
  <si>
    <t>Date</t>
  </si>
  <si>
    <t>BMI Purchase Order Number:</t>
  </si>
  <si>
    <t>BMI Change Order Number:</t>
  </si>
  <si>
    <t>Rider "A" - Scope of Work/Pricing</t>
  </si>
  <si>
    <t>Scope:</t>
  </si>
  <si>
    <t>Provide the Following in full accordance with the documents listed in Rider B</t>
  </si>
  <si>
    <t>Rider "B" - Contract Documents</t>
  </si>
  <si>
    <t>Document List:</t>
  </si>
  <si>
    <t>Internal use only, Do not send if checked</t>
  </si>
  <si>
    <t>CHANGE ORDER RIDERS A THRU B</t>
  </si>
  <si>
    <t>Scope</t>
  </si>
  <si>
    <t>Documents</t>
  </si>
  <si>
    <t>SUBCONTRACTOR does hereby promise and agree to furnish all of the necessary office support, labor, materials, tools, equipment and supplies, together with any other items, necessary or incidental to the performance of the work described herein. All terms and conditions of the original SUBCONTRACT apply to this Change Order.</t>
  </si>
  <si>
    <t>(Check and attach all that apply)</t>
  </si>
  <si>
    <t>CHANGE ORDER</t>
  </si>
  <si>
    <t>RIDERS "A" (SCOPE). "B" (DOCUMENT LIST), "C" (SCHEDULE), "D" (SPECIAL CONDITIONS), RIDER "E" (INSURANCE REQUIREMENTS), RIDER "F" (RELEASE AND WAIVER OF LIENS), RIDER "G" (APPLICATION AND CERTIFICATE FOR PAYMENT FORM)</t>
  </si>
  <si>
    <t>Name</t>
  </si>
  <si>
    <t>Title</t>
  </si>
  <si>
    <t>Signature</t>
  </si>
  <si>
    <r>
      <t xml:space="preserve">IN WITNESS WHEREOF, and intending to be legally bound, the parties hereto set their hands and seals on the dates indicated below. By signing or placing a digital signature below, parties certify that they have authority to bind their companies to this agreement and that they have read and fully comply with this entire agreement including all Riders and attachements as applicable. </t>
    </r>
    <r>
      <rPr>
        <b/>
        <sz val="11"/>
        <color theme="1"/>
        <rFont val="Arial"/>
        <family val="2"/>
      </rPr>
      <t>A digital signature is preferred,</t>
    </r>
    <r>
      <rPr>
        <sz val="11"/>
        <color theme="1"/>
        <rFont val="Arial"/>
        <family val="2"/>
      </rPr>
      <t xml:space="preserve"> and is available in most Adobe software in the certificates toolbar. If you would prefer to hand sign this form we request that you sign and date below, and </t>
    </r>
    <r>
      <rPr>
        <b/>
        <sz val="11"/>
        <color theme="1"/>
        <rFont val="Arial"/>
        <family val="2"/>
      </rPr>
      <t>return the full document</t>
    </r>
    <r>
      <rPr>
        <sz val="11"/>
        <color theme="1"/>
        <rFont val="Arial"/>
        <family val="2"/>
      </rPr>
      <t xml:space="preserve"> to Burns Mechanical.</t>
    </r>
  </si>
  <si>
    <t>This is a Change Order to a previously issued Purchase Order. It is an offer to purchase goods from a seller (VENDOR) as described herein, and in RIDER “A” SCOPE OF PURCHASE (the “SCOPE”), and RIDER “B” CONTRACT DOCUMENTS (“CONTRACT DOCUMENTS”) if applicable. All terms and conditions of the original PURCHASE ORDER apply to this Change Order.</t>
  </si>
  <si>
    <t>Forward product submittal data (in .pdf format) "For Approval" to the attention of our Project Manager withing (5) days of the receipt of this order.</t>
  </si>
  <si>
    <t>Forward product submittal data (in .pdf format) "For Record" to the attention of our Project Manager withing (5) days of the receipt of this order.</t>
  </si>
  <si>
    <t>Column2</t>
  </si>
  <si>
    <t>RIDERS "A" (SCOPE). "B" (DOCUMENT LIST), "C" (SCHEDULE), "D" (SPECIAL CONDITIONS), RIDER "E" (TERMS AND CONDITIONS), RIDER "F" (SHIPPING TERMS)</t>
  </si>
  <si>
    <t>000000-S-0000</t>
  </si>
  <si>
    <t>Example</t>
  </si>
  <si>
    <t>Example, PA XXXXX</t>
  </si>
  <si>
    <t>Example 2</t>
  </si>
  <si>
    <t>Example 2, PA XXXXX</t>
  </si>
  <si>
    <t>Example 3</t>
  </si>
  <si>
    <t>Example 4</t>
  </si>
  <si>
    <t>Example 3, PA XXXXX</t>
  </si>
  <si>
    <t>Example 4, PA XXXXX</t>
  </si>
  <si>
    <t>Example, INC.</t>
  </si>
  <si>
    <t>Insert General Terms and Conditions Page</t>
  </si>
  <si>
    <t>Example, 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</si>
</sst>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4" formatCode="_(&quot;$&quot;* #,##0.00_);_(&quot;$&quot;* \(#,##0.00\);_(&quot;$&quot;* &quot;-&quot;??_);_(@_)"/>
    <numFmt numFmtId="43" formatCode="_(* #,##0.00_);_(* \(#,##0.00\);_(* &quot;-&quot;??_);_(@_)"/>
    <numFmt numFmtId="164" formatCode="0.0%"/>
    <numFmt numFmtId="165" formatCode="0;\-0;;@"/>
  </numFmts>
  <fonts count="19" x14ac:knownFonts="1">
    <font>
      <sz val="11"/>
      <color theme="1"/>
      <name val="Calibri"/>
      <family val="2"/>
      <scheme val="minor"/>
    </font>
    <font>
      <sz val="11"/>
      <color theme="1"/>
      <name val="Calibri"/>
      <family val="2"/>
      <scheme val="minor"/>
    </font>
    <font>
      <sz val="11"/>
      <color theme="1"/>
      <name val="Arial"/>
      <family val="2"/>
    </font>
    <font>
      <b/>
      <sz val="11"/>
      <color theme="1"/>
      <name val="Arial"/>
      <family val="2"/>
    </font>
    <font>
      <sz val="10"/>
      <color theme="1"/>
      <name val="Arial"/>
      <family val="2"/>
    </font>
    <font>
      <b/>
      <i/>
      <u/>
      <sz val="12"/>
      <color theme="1"/>
      <name val="Arial"/>
      <family val="2"/>
    </font>
    <font>
      <b/>
      <sz val="16"/>
      <color theme="1"/>
      <name val="Arial"/>
      <family val="2"/>
    </font>
    <font>
      <u/>
      <sz val="11"/>
      <color theme="1"/>
      <name val="Arial"/>
      <family val="2"/>
    </font>
    <font>
      <sz val="12"/>
      <color theme="1"/>
      <name val="Arial"/>
      <family val="2"/>
    </font>
    <font>
      <sz val="11"/>
      <color theme="0"/>
      <name val="Arial"/>
      <family val="2"/>
    </font>
    <font>
      <b/>
      <sz val="11"/>
      <color theme="0"/>
      <name val="Calibri"/>
      <family val="2"/>
      <scheme val="minor"/>
    </font>
    <font>
      <b/>
      <u/>
      <sz val="11"/>
      <color theme="1"/>
      <name val="Arial"/>
      <family val="2"/>
    </font>
    <font>
      <b/>
      <sz val="11"/>
      <color theme="1"/>
      <name val="Calibri"/>
      <family val="2"/>
      <scheme val="minor"/>
    </font>
    <font>
      <b/>
      <sz val="11"/>
      <color theme="0"/>
      <name val="Arial"/>
      <family val="2"/>
    </font>
    <font>
      <b/>
      <u/>
      <sz val="10"/>
      <color theme="1"/>
      <name val="Arial"/>
      <family val="2"/>
    </font>
    <font>
      <b/>
      <sz val="10"/>
      <color theme="1"/>
      <name val="Arial"/>
      <family val="2"/>
    </font>
    <font>
      <sz val="11"/>
      <color theme="1"/>
      <name val="Arial"/>
      <family val="2"/>
    </font>
    <font>
      <sz val="9"/>
      <color theme="1"/>
      <name val="Arial"/>
      <family val="2"/>
    </font>
    <font>
      <sz val="8"/>
      <name val="Calibri"/>
      <family val="2"/>
      <scheme val="minor"/>
    </font>
  </fonts>
  <fills count="8">
    <fill>
      <patternFill patternType="none"/>
    </fill>
    <fill>
      <patternFill patternType="gray125"/>
    </fill>
    <fill>
      <patternFill patternType="solid">
        <fgColor theme="2"/>
        <bgColor indexed="64"/>
      </patternFill>
    </fill>
    <fill>
      <patternFill patternType="solid">
        <fgColor rgb="FFFFFFCC"/>
        <bgColor indexed="64"/>
      </patternFill>
    </fill>
    <fill>
      <patternFill patternType="solid">
        <fgColor theme="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2" tint="-0.249977111117893"/>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75">
    <xf numFmtId="0" fontId="0" fillId="0" borderId="0" xfId="0"/>
    <xf numFmtId="0" fontId="2" fillId="0" borderId="0" xfId="0" applyFont="1"/>
    <xf numFmtId="0" fontId="3" fillId="0" borderId="0" xfId="0" applyFont="1"/>
    <xf numFmtId="0" fontId="4" fillId="0" borderId="0" xfId="0" applyFont="1" applyAlignment="1">
      <alignment vertical="center"/>
    </xf>
    <xf numFmtId="0" fontId="4" fillId="0" borderId="1" xfId="0" applyFont="1" applyBorder="1" applyAlignment="1">
      <alignment vertical="center"/>
    </xf>
    <xf numFmtId="164" fontId="4" fillId="0" borderId="1" xfId="2" applyNumberFormat="1" applyFont="1" applyBorder="1" applyAlignment="1">
      <alignment vertical="center"/>
    </xf>
    <xf numFmtId="0" fontId="4" fillId="0" borderId="2" xfId="0" applyFont="1" applyBorder="1" applyAlignment="1">
      <alignment vertical="center"/>
    </xf>
    <xf numFmtId="164" fontId="4" fillId="0" borderId="2" xfId="2" applyNumberFormat="1" applyFont="1" applyBorder="1" applyAlignment="1">
      <alignment vertical="center"/>
    </xf>
    <xf numFmtId="0" fontId="2" fillId="0" borderId="0" xfId="0" applyFont="1" applyAlignment="1">
      <alignment wrapText="1"/>
    </xf>
    <xf numFmtId="0" fontId="2" fillId="0" borderId="1" xfId="0" applyFont="1" applyBorder="1"/>
    <xf numFmtId="0" fontId="2" fillId="0" borderId="1" xfId="0" applyFont="1" applyBorder="1" applyAlignment="1">
      <alignment horizontal="center"/>
    </xf>
    <xf numFmtId="0" fontId="8" fillId="0" borderId="0" xfId="0" applyFont="1" applyAlignment="1">
      <alignment horizontal="left" vertical="center" wrapText="1" indent="1"/>
    </xf>
    <xf numFmtId="0" fontId="2" fillId="0" borderId="0" xfId="0" applyFont="1" applyAlignment="1">
      <alignment horizontal="center" vertical="center" wrapText="1"/>
    </xf>
    <xf numFmtId="0" fontId="2" fillId="0" borderId="0" xfId="0" applyFont="1" applyAlignment="1">
      <alignment horizontal="left" vertical="center" wrapText="1"/>
    </xf>
    <xf numFmtId="0" fontId="4" fillId="0" borderId="0" xfId="0" applyFont="1" applyAlignment="1">
      <alignment wrapText="1"/>
    </xf>
    <xf numFmtId="44" fontId="2" fillId="0" borderId="0" xfId="0" applyNumberFormat="1" applyFont="1" applyAlignment="1">
      <alignment wrapText="1"/>
    </xf>
    <xf numFmtId="0" fontId="2" fillId="0" borderId="0" xfId="0" applyFont="1" applyProtection="1"/>
    <xf numFmtId="0" fontId="2" fillId="0" borderId="1" xfId="0" applyFont="1" applyBorder="1" applyAlignment="1" applyProtection="1">
      <alignment horizontal="right"/>
    </xf>
    <xf numFmtId="0" fontId="2" fillId="0" borderId="0" xfId="0" applyFont="1" applyFill="1" applyBorder="1" applyProtection="1"/>
    <xf numFmtId="0" fontId="2" fillId="0" borderId="0" xfId="0" applyFont="1" applyFill="1" applyBorder="1" applyAlignment="1" applyProtection="1">
      <alignment horizontal="center"/>
    </xf>
    <xf numFmtId="0" fontId="2" fillId="0" borderId="0" xfId="0" applyFont="1" applyFill="1" applyProtection="1"/>
    <xf numFmtId="0" fontId="2" fillId="0" borderId="0" xfId="0" applyFont="1" applyAlignment="1" applyProtection="1">
      <alignment horizontal="justify" vertical="justify" wrapText="1"/>
      <protection locked="0"/>
    </xf>
    <xf numFmtId="0" fontId="2" fillId="0" borderId="0" xfId="0" applyFont="1" applyAlignment="1" applyProtection="1">
      <alignment horizontal="justify" vertical="justify"/>
      <protection locked="0"/>
    </xf>
    <xf numFmtId="0" fontId="0" fillId="0" borderId="0" xfId="0" applyProtection="1">
      <protection locked="0"/>
    </xf>
    <xf numFmtId="0" fontId="2" fillId="2" borderId="1" xfId="0"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0" fontId="2" fillId="0" borderId="0" xfId="0" applyFont="1" applyProtection="1">
      <protection locked="0"/>
    </xf>
    <xf numFmtId="0" fontId="2" fillId="0" borderId="0" xfId="0" applyFont="1" applyAlignment="1" applyProtection="1">
      <alignment vertical="center" wrapText="1"/>
    </xf>
    <xf numFmtId="0" fontId="7" fillId="0" borderId="0" xfId="0" applyFont="1" applyProtection="1"/>
    <xf numFmtId="0" fontId="4" fillId="0" borderId="0" xfId="0" applyFont="1" applyBorder="1" applyAlignment="1" applyProtection="1">
      <alignment vertical="center" wrapText="1"/>
    </xf>
    <xf numFmtId="14" fontId="2" fillId="2" borderId="1" xfId="0" applyNumberFormat="1" applyFont="1" applyFill="1" applyBorder="1" applyAlignment="1" applyProtection="1">
      <alignment horizontal="center"/>
      <protection locked="0"/>
    </xf>
    <xf numFmtId="0" fontId="2" fillId="0" borderId="1" xfId="0" applyFont="1" applyBorder="1" applyAlignment="1">
      <alignment horizontal="center"/>
    </xf>
    <xf numFmtId="0" fontId="2" fillId="0" borderId="1" xfId="0" applyFont="1" applyBorder="1" applyAlignment="1" applyProtection="1">
      <alignment horizontal="right"/>
    </xf>
    <xf numFmtId="0" fontId="2" fillId="2" borderId="1" xfId="0" applyFont="1" applyFill="1" applyBorder="1" applyAlignment="1" applyProtection="1">
      <alignment horizontal="center"/>
      <protection locked="0"/>
    </xf>
    <xf numFmtId="49" fontId="2" fillId="0" borderId="12" xfId="0" applyNumberFormat="1" applyFont="1" applyBorder="1" applyAlignment="1" applyProtection="1">
      <alignment horizontal="center"/>
    </xf>
    <xf numFmtId="49" fontId="2" fillId="0" borderId="8" xfId="0" applyNumberFormat="1" applyFont="1" applyBorder="1" applyAlignment="1" applyProtection="1">
      <alignment horizontal="center"/>
    </xf>
    <xf numFmtId="0" fontId="2" fillId="0" borderId="9" xfId="0" applyFont="1" applyBorder="1" applyProtection="1"/>
    <xf numFmtId="0" fontId="2" fillId="0" borderId="10" xfId="0" applyFont="1" applyBorder="1" applyProtection="1"/>
    <xf numFmtId="0" fontId="2" fillId="0" borderId="0" xfId="0" applyFont="1" applyBorder="1" applyProtection="1"/>
    <xf numFmtId="0" fontId="2" fillId="0" borderId="11" xfId="0" applyFont="1" applyBorder="1" applyProtection="1"/>
    <xf numFmtId="0" fontId="0" fillId="0" borderId="0" xfId="0" applyAlignment="1"/>
    <xf numFmtId="44" fontId="0" fillId="0" borderId="0" xfId="0" applyNumberFormat="1"/>
    <xf numFmtId="44" fontId="0" fillId="0" borderId="0" xfId="1" applyFont="1"/>
    <xf numFmtId="49" fontId="2" fillId="0" borderId="12" xfId="0" applyNumberFormat="1" applyFont="1" applyBorder="1" applyAlignment="1" applyProtection="1">
      <alignment horizontal="center"/>
    </xf>
    <xf numFmtId="0" fontId="10" fillId="5" borderId="13" xfId="0" applyFont="1" applyFill="1" applyBorder="1"/>
    <xf numFmtId="0" fontId="10" fillId="5" borderId="14" xfId="0" applyFont="1" applyFill="1" applyBorder="1"/>
    <xf numFmtId="0" fontId="4" fillId="6" borderId="1" xfId="0" applyFont="1" applyFill="1" applyBorder="1" applyAlignment="1">
      <alignment vertical="center"/>
    </xf>
    <xf numFmtId="164" fontId="4" fillId="6" borderId="1" xfId="2" applyNumberFormat="1" applyFont="1" applyFill="1" applyBorder="1" applyAlignment="1">
      <alignment vertical="center"/>
    </xf>
    <xf numFmtId="9" fontId="0" fillId="0" borderId="0" xfId="2" applyFont="1"/>
    <xf numFmtId="9" fontId="3" fillId="0" borderId="1" xfId="2" applyFont="1" applyBorder="1" applyAlignment="1" applyProtection="1">
      <alignment horizontal="right"/>
    </xf>
    <xf numFmtId="0" fontId="3" fillId="3" borderId="1" xfId="0" applyFont="1" applyFill="1" applyBorder="1" applyAlignment="1" applyProtection="1">
      <alignment horizontal="center" vertical="center"/>
    </xf>
    <xf numFmtId="9" fontId="2" fillId="0" borderId="1" xfId="2" applyFont="1" applyBorder="1" applyAlignment="1" applyProtection="1">
      <alignment vertical="center"/>
    </xf>
    <xf numFmtId="0" fontId="2" fillId="2" borderId="1" xfId="0" applyFont="1" applyFill="1" applyBorder="1" applyAlignment="1" applyProtection="1">
      <alignment horizontal="center"/>
    </xf>
    <xf numFmtId="41" fontId="2" fillId="0" borderId="1" xfId="3" applyNumberFormat="1" applyFont="1" applyBorder="1" applyAlignment="1" applyProtection="1">
      <alignment vertical="center"/>
    </xf>
    <xf numFmtId="0" fontId="9" fillId="0" borderId="0" xfId="0" applyFont="1"/>
    <xf numFmtId="0" fontId="3" fillId="0" borderId="1" xfId="0" applyFont="1" applyBorder="1" applyAlignment="1">
      <alignment horizontal="center"/>
    </xf>
    <xf numFmtId="0" fontId="3" fillId="0" borderId="1" xfId="0" applyFont="1" applyBorder="1" applyAlignment="1" applyProtection="1">
      <alignment horizontal="right"/>
    </xf>
    <xf numFmtId="0" fontId="3" fillId="0" borderId="1" xfId="0" applyFont="1" applyBorder="1" applyAlignment="1" applyProtection="1">
      <alignment horizontal="center"/>
    </xf>
    <xf numFmtId="0" fontId="2" fillId="0" borderId="0" xfId="0" applyFont="1" applyAlignment="1"/>
    <xf numFmtId="0" fontId="2" fillId="0" borderId="0" xfId="0" applyFont="1" applyAlignment="1">
      <alignment vertical="top"/>
    </xf>
    <xf numFmtId="0" fontId="3" fillId="0" borderId="0" xfId="0" applyFont="1" applyAlignment="1">
      <alignment vertical="top"/>
    </xf>
    <xf numFmtId="0" fontId="2" fillId="0" borderId="1" xfId="0" applyFont="1" applyBorder="1" applyAlignment="1" applyProtection="1">
      <alignment vertical="center"/>
      <protection locked="0"/>
    </xf>
    <xf numFmtId="0" fontId="13" fillId="0" borderId="0" xfId="0" applyFont="1" applyBorder="1" applyAlignment="1" applyProtection="1"/>
    <xf numFmtId="0" fontId="9" fillId="0" borderId="0" xfId="0" applyFont="1" applyProtection="1"/>
    <xf numFmtId="0" fontId="3" fillId="0" borderId="1" xfId="0" applyFont="1" applyBorder="1" applyAlignment="1" applyProtection="1">
      <alignment horizontal="right"/>
    </xf>
    <xf numFmtId="0" fontId="3" fillId="0" borderId="1" xfId="0" applyFont="1" applyBorder="1" applyAlignment="1">
      <alignment horizontal="right"/>
    </xf>
    <xf numFmtId="0" fontId="3" fillId="3" borderId="1" xfId="0" applyFont="1" applyFill="1" applyBorder="1" applyAlignment="1">
      <alignment horizontal="center" vertical="center"/>
    </xf>
    <xf numFmtId="44" fontId="2" fillId="0" borderId="1" xfId="1" applyFont="1" applyBorder="1" applyAlignment="1" applyProtection="1">
      <alignment horizontal="right" vertical="center"/>
      <protection locked="0"/>
    </xf>
    <xf numFmtId="44" fontId="3" fillId="0" borderId="1" xfId="1" applyFont="1" applyBorder="1" applyAlignment="1">
      <alignment horizontal="right" vertical="center"/>
    </xf>
    <xf numFmtId="44" fontId="2" fillId="0" borderId="1" xfId="1" applyFont="1" applyBorder="1" applyAlignment="1">
      <alignment horizontal="right" vertical="center"/>
    </xf>
    <xf numFmtId="0" fontId="5" fillId="0" borderId="1" xfId="0" applyFont="1" applyBorder="1" applyAlignment="1">
      <alignment horizontal="right" vertical="center"/>
    </xf>
    <xf numFmtId="44" fontId="2" fillId="0" borderId="1" xfId="0" applyNumberFormat="1" applyFont="1" applyBorder="1"/>
    <xf numFmtId="44" fontId="2" fillId="0" borderId="1" xfId="1" applyFont="1" applyBorder="1"/>
    <xf numFmtId="165" fontId="2" fillId="0" borderId="1" xfId="0" applyNumberFormat="1" applyFont="1" applyBorder="1" applyAlignment="1" applyProtection="1"/>
    <xf numFmtId="14" fontId="0" fillId="0" borderId="0" xfId="0" applyNumberFormat="1"/>
    <xf numFmtId="14" fontId="2" fillId="0" borderId="1" xfId="0" applyNumberFormat="1" applyFont="1" applyBorder="1" applyAlignment="1" applyProtection="1"/>
    <xf numFmtId="0" fontId="2" fillId="0" borderId="0" xfId="0" applyFont="1" applyAlignment="1" applyProtection="1">
      <alignment horizontal="center" vertical="center" wrapText="1"/>
    </xf>
    <xf numFmtId="0" fontId="14" fillId="0" borderId="0" xfId="0" applyFont="1" applyAlignment="1" applyProtection="1"/>
    <xf numFmtId="0" fontId="4" fillId="0" borderId="0" xfId="0" applyFont="1" applyAlignment="1" applyProtection="1">
      <alignment vertical="center" wrapText="1"/>
    </xf>
    <xf numFmtId="0" fontId="16" fillId="0" borderId="0" xfId="0" applyFont="1" applyAlignment="1" applyProtection="1">
      <alignment wrapText="1"/>
    </xf>
    <xf numFmtId="0" fontId="16" fillId="0" borderId="0" xfId="0" applyFont="1" applyAlignment="1">
      <alignment wrapText="1"/>
    </xf>
    <xf numFmtId="0" fontId="3" fillId="2" borderId="1" xfId="0" applyFont="1" applyFill="1" applyBorder="1" applyProtection="1">
      <protection locked="0"/>
    </xf>
    <xf numFmtId="0" fontId="17" fillId="0" borderId="1" xfId="0" applyFont="1" applyBorder="1" applyAlignment="1" applyProtection="1">
      <alignment vertical="center"/>
      <protection locked="0"/>
    </xf>
    <xf numFmtId="44" fontId="2" fillId="2" borderId="1" xfId="1" applyFont="1" applyFill="1" applyBorder="1" applyAlignment="1" applyProtection="1">
      <alignment horizontal="right" vertical="center"/>
      <protection locked="0"/>
    </xf>
    <xf numFmtId="0" fontId="3" fillId="3" borderId="1" xfId="0" applyFont="1" applyFill="1" applyBorder="1" applyAlignment="1">
      <alignment horizontal="center" vertical="center"/>
    </xf>
    <xf numFmtId="0" fontId="2" fillId="0" borderId="1" xfId="0" applyFont="1" applyBorder="1" applyAlignment="1">
      <alignment horizontal="center"/>
    </xf>
    <xf numFmtId="0" fontId="2" fillId="7" borderId="0" xfId="0" applyFont="1" applyFill="1"/>
    <xf numFmtId="0" fontId="2" fillId="7" borderId="0" xfId="0" applyFont="1" applyFill="1" applyProtection="1">
      <protection locked="0"/>
    </xf>
    <xf numFmtId="0" fontId="0" fillId="7" borderId="0" xfId="0" applyFill="1" applyAlignment="1"/>
    <xf numFmtId="0" fontId="0" fillId="7" borderId="0" xfId="0" applyFill="1"/>
    <xf numFmtId="0" fontId="3" fillId="3" borderId="5" xfId="0" applyFont="1" applyFill="1" applyBorder="1" applyAlignment="1">
      <alignment horizontal="center" vertical="center"/>
    </xf>
    <xf numFmtId="44" fontId="2" fillId="0" borderId="5" xfId="1" applyFont="1" applyBorder="1" applyAlignment="1" applyProtection="1">
      <alignment horizontal="right" vertical="center"/>
      <protection locked="0"/>
    </xf>
    <xf numFmtId="0" fontId="0" fillId="0" borderId="0" xfId="0" applyBorder="1"/>
    <xf numFmtId="0" fontId="0" fillId="0" borderId="1" xfId="0" applyBorder="1"/>
    <xf numFmtId="44" fontId="17" fillId="0" borderId="5" xfId="1" applyFont="1" applyBorder="1" applyAlignment="1" applyProtection="1">
      <alignment horizontal="right" vertical="center"/>
      <protection locked="0"/>
    </xf>
    <xf numFmtId="0" fontId="3" fillId="0" borderId="5" xfId="0" applyFont="1" applyBorder="1" applyAlignment="1">
      <alignment horizontal="right" vertical="center"/>
    </xf>
    <xf numFmtId="164" fontId="3" fillId="0" borderId="5" xfId="2" applyNumberFormat="1" applyFont="1" applyBorder="1" applyAlignment="1">
      <alignment horizontal="right" vertical="center"/>
    </xf>
    <xf numFmtId="0" fontId="15" fillId="0" borderId="5" xfId="0" applyFont="1" applyBorder="1" applyAlignment="1">
      <alignment horizontal="right" vertical="center"/>
    </xf>
    <xf numFmtId="44" fontId="2" fillId="0" borderId="1" xfId="1" applyFont="1" applyFill="1" applyBorder="1" applyAlignment="1">
      <alignment horizontal="right" vertical="center"/>
    </xf>
    <xf numFmtId="0" fontId="4" fillId="0" borderId="0" xfId="0" applyFont="1" applyAlignment="1" applyProtection="1">
      <alignment horizontal="left"/>
      <protection locked="0"/>
    </xf>
    <xf numFmtId="49" fontId="3" fillId="2" borderId="1" xfId="0" applyNumberFormat="1" applyFont="1" applyFill="1" applyBorder="1" applyAlignment="1" applyProtection="1">
      <alignment horizontal="center"/>
      <protection locked="0"/>
    </xf>
    <xf numFmtId="0" fontId="4" fillId="0" borderId="0" xfId="0" applyFont="1" applyBorder="1" applyAlignment="1" applyProtection="1">
      <alignment horizontal="justify" vertical="center" wrapText="1"/>
    </xf>
    <xf numFmtId="0" fontId="4" fillId="2" borderId="1" xfId="0" applyFont="1" applyFill="1" applyBorder="1" applyAlignment="1" applyProtection="1">
      <alignment horizontal="left" vertical="center" wrapText="1"/>
      <protection locked="0"/>
    </xf>
    <xf numFmtId="0" fontId="2" fillId="0" borderId="1" xfId="0" applyFont="1" applyBorder="1" applyAlignment="1" applyProtection="1">
      <alignment horizontal="right"/>
    </xf>
    <xf numFmtId="49" fontId="9" fillId="0" borderId="1" xfId="0" applyNumberFormat="1" applyFont="1" applyBorder="1" applyAlignment="1" applyProtection="1">
      <alignment horizontal="left" vertical="top"/>
    </xf>
    <xf numFmtId="49" fontId="2" fillId="0" borderId="1" xfId="0" applyNumberFormat="1" applyFont="1" applyBorder="1" applyAlignment="1" applyProtection="1">
      <alignment horizontal="left" vertical="top"/>
    </xf>
    <xf numFmtId="44" fontId="2" fillId="0" borderId="1" xfId="1" applyFont="1" applyBorder="1" applyAlignment="1" applyProtection="1">
      <alignment horizontal="center"/>
    </xf>
    <xf numFmtId="44" fontId="3" fillId="0" borderId="1" xfId="1" applyFont="1" applyBorder="1" applyAlignment="1" applyProtection="1">
      <alignment horizontal="center"/>
    </xf>
    <xf numFmtId="0" fontId="3" fillId="0" borderId="1" xfId="0" applyFont="1" applyBorder="1" applyAlignment="1" applyProtection="1">
      <alignment horizontal="right"/>
    </xf>
    <xf numFmtId="0" fontId="3" fillId="0" borderId="1" xfId="0" applyFont="1" applyBorder="1" applyAlignment="1" applyProtection="1">
      <alignment horizontal="center"/>
    </xf>
    <xf numFmtId="0" fontId="2" fillId="0" borderId="5" xfId="0" applyFont="1" applyBorder="1" applyAlignment="1">
      <alignment horizontal="center"/>
    </xf>
    <xf numFmtId="0" fontId="2" fillId="0" borderId="7" xfId="0" applyFont="1" applyBorder="1" applyAlignment="1">
      <alignment horizontal="center"/>
    </xf>
    <xf numFmtId="0" fontId="3" fillId="2" borderId="1" xfId="0" applyFont="1" applyFill="1" applyBorder="1" applyAlignment="1" applyProtection="1">
      <alignment horizontal="center"/>
      <protection locked="0"/>
    </xf>
    <xf numFmtId="0" fontId="2" fillId="2" borderId="1" xfId="0" applyFont="1" applyFill="1" applyBorder="1" applyAlignment="1" applyProtection="1">
      <alignment horizontal="center"/>
      <protection locked="0"/>
    </xf>
    <xf numFmtId="0" fontId="2" fillId="0" borderId="2" xfId="0" applyFont="1" applyBorder="1" applyAlignment="1" applyProtection="1">
      <alignment horizontal="right" vertical="center"/>
    </xf>
    <xf numFmtId="0" fontId="2" fillId="0" borderId="3" xfId="0" applyFont="1" applyBorder="1" applyAlignment="1" applyProtection="1">
      <alignment horizontal="right" vertical="center"/>
    </xf>
    <xf numFmtId="0" fontId="2" fillId="0" borderId="4" xfId="0" applyFont="1" applyBorder="1" applyAlignment="1" applyProtection="1">
      <alignment horizontal="right" vertical="center"/>
    </xf>
    <xf numFmtId="0" fontId="2" fillId="2" borderId="5"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14" fillId="0" borderId="0" xfId="0" applyFont="1" applyAlignment="1" applyProtection="1">
      <alignment horizontal="right"/>
    </xf>
    <xf numFmtId="0" fontId="4" fillId="0" borderId="0" xfId="0" applyFont="1" applyAlignment="1" applyProtection="1">
      <alignment horizontal="left" vertical="center" wrapText="1"/>
    </xf>
    <xf numFmtId="0" fontId="2" fillId="7" borderId="0" xfId="0" applyFont="1" applyFill="1" applyAlignment="1">
      <alignment horizontal="center"/>
    </xf>
    <xf numFmtId="0" fontId="4" fillId="0" borderId="0" xfId="0" applyFont="1" applyAlignment="1" applyProtection="1">
      <alignment horizontal="left"/>
    </xf>
    <xf numFmtId="0" fontId="2" fillId="0" borderId="0" xfId="0" applyFont="1" applyAlignment="1" applyProtection="1">
      <alignment horizontal="center" vertical="center" wrapText="1"/>
    </xf>
    <xf numFmtId="0" fontId="2" fillId="0" borderId="0" xfId="0" applyFont="1" applyAlignment="1">
      <alignment horizontal="justify" wrapText="1"/>
    </xf>
    <xf numFmtId="0" fontId="2" fillId="0" borderId="0" xfId="0" applyFont="1" applyAlignment="1">
      <alignment horizontal="center"/>
    </xf>
    <xf numFmtId="0" fontId="2" fillId="0" borderId="12" xfId="0" applyFont="1" applyBorder="1" applyAlignment="1">
      <alignment horizontal="center"/>
    </xf>
    <xf numFmtId="0" fontId="2" fillId="0" borderId="6" xfId="0" applyFont="1" applyBorder="1" applyAlignment="1">
      <alignment horizontal="center"/>
    </xf>
    <xf numFmtId="0" fontId="2" fillId="0" borderId="1" xfId="0" applyFont="1" applyBorder="1" applyAlignment="1" applyProtection="1">
      <alignment horizontal="justify" vertical="justify" wrapText="1"/>
      <protection locked="0"/>
    </xf>
    <xf numFmtId="0" fontId="6" fillId="0" borderId="1" xfId="0" applyFont="1" applyBorder="1" applyAlignment="1">
      <alignment horizontal="center"/>
    </xf>
    <xf numFmtId="0" fontId="2" fillId="0" borderId="1" xfId="0" applyFont="1" applyBorder="1" applyAlignment="1">
      <alignment horizontal="right"/>
    </xf>
    <xf numFmtId="0" fontId="2" fillId="2" borderId="1" xfId="0" applyFont="1" applyFill="1" applyBorder="1" applyAlignment="1" applyProtection="1">
      <alignment horizontal="left"/>
      <protection locked="0"/>
    </xf>
    <xf numFmtId="0" fontId="3" fillId="4" borderId="1" xfId="0" applyFont="1" applyFill="1" applyBorder="1" applyAlignment="1" applyProtection="1">
      <alignment horizontal="left"/>
    </xf>
    <xf numFmtId="0" fontId="2" fillId="0" borderId="1"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3" fillId="0" borderId="5" xfId="0" applyFont="1" applyBorder="1" applyAlignment="1">
      <alignment horizontal="left"/>
    </xf>
    <xf numFmtId="0" fontId="3" fillId="0" borderId="6" xfId="0" applyFont="1" applyBorder="1" applyAlignment="1">
      <alignment horizontal="left"/>
    </xf>
    <xf numFmtId="0" fontId="3" fillId="0" borderId="7" xfId="0" applyFont="1" applyBorder="1" applyAlignment="1">
      <alignment horizontal="left"/>
    </xf>
    <xf numFmtId="0" fontId="2" fillId="0" borderId="1" xfId="0" applyFont="1" applyBorder="1" applyAlignment="1">
      <alignment horizontal="center" vertical="center"/>
    </xf>
    <xf numFmtId="0" fontId="3" fillId="3" borderId="1"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5" xfId="0" applyFont="1" applyFill="1" applyBorder="1" applyAlignment="1" applyProtection="1">
      <alignment horizontal="center" vertical="center"/>
    </xf>
    <xf numFmtId="0" fontId="3" fillId="3" borderId="7" xfId="0" applyFont="1" applyFill="1" applyBorder="1" applyAlignment="1" applyProtection="1">
      <alignment horizontal="center" vertical="center"/>
    </xf>
    <xf numFmtId="44" fontId="2" fillId="0" borderId="5" xfId="1" applyFont="1" applyBorder="1" applyAlignment="1" applyProtection="1">
      <alignment horizontal="center" vertical="center"/>
    </xf>
    <xf numFmtId="44" fontId="2" fillId="0" borderId="7" xfId="1" applyFont="1" applyBorder="1" applyAlignment="1" applyProtection="1">
      <alignment horizontal="center" vertical="center"/>
    </xf>
    <xf numFmtId="165" fontId="2" fillId="0" borderId="5" xfId="3" applyNumberFormat="1" applyFont="1" applyBorder="1" applyAlignment="1" applyProtection="1">
      <alignment horizontal="center" vertical="center"/>
    </xf>
    <xf numFmtId="165" fontId="2" fillId="0" borderId="6" xfId="3" applyNumberFormat="1" applyFont="1" applyBorder="1" applyAlignment="1" applyProtection="1">
      <alignment horizontal="center" vertical="center"/>
    </xf>
    <xf numFmtId="165" fontId="2" fillId="0" borderId="7" xfId="3" applyNumberFormat="1" applyFont="1" applyBorder="1" applyAlignment="1" applyProtection="1">
      <alignment horizontal="center" vertical="center"/>
    </xf>
    <xf numFmtId="0" fontId="4" fillId="0" borderId="0" xfId="0" applyFont="1" applyAlignment="1" applyProtection="1">
      <alignment horizontal="left" vertical="center" wrapText="1"/>
      <protection locked="0"/>
    </xf>
    <xf numFmtId="0" fontId="3" fillId="3" borderId="6" xfId="0" applyFont="1" applyFill="1" applyBorder="1" applyAlignment="1" applyProtection="1">
      <alignment horizontal="center" vertical="center"/>
    </xf>
    <xf numFmtId="44" fontId="2" fillId="0" borderId="1" xfId="1" applyFont="1" applyBorder="1" applyAlignment="1" applyProtection="1">
      <alignment horizontal="center" vertical="center"/>
    </xf>
    <xf numFmtId="44" fontId="2" fillId="0" borderId="1" xfId="0" applyNumberFormat="1" applyFont="1" applyBorder="1" applyAlignment="1" applyProtection="1">
      <alignment horizontal="center"/>
    </xf>
    <xf numFmtId="0" fontId="2" fillId="0" borderId="1" xfId="0" applyFont="1" applyBorder="1" applyAlignment="1" applyProtection="1">
      <alignment horizontal="center"/>
    </xf>
    <xf numFmtId="0" fontId="3" fillId="2" borderId="5" xfId="0" applyNumberFormat="1" applyFont="1" applyFill="1" applyBorder="1" applyAlignment="1" applyProtection="1">
      <alignment horizontal="center"/>
    </xf>
    <xf numFmtId="0" fontId="3" fillId="2" borderId="6" xfId="0" applyNumberFormat="1" applyFont="1" applyFill="1" applyBorder="1" applyAlignment="1" applyProtection="1">
      <alignment horizontal="center"/>
    </xf>
    <xf numFmtId="0" fontId="3" fillId="2" borderId="7" xfId="0" applyNumberFormat="1" applyFont="1" applyFill="1" applyBorder="1" applyAlignment="1" applyProtection="1">
      <alignment horizontal="center"/>
    </xf>
    <xf numFmtId="44" fontId="2" fillId="0" borderId="1" xfId="0" applyNumberFormat="1" applyFont="1" applyBorder="1" applyAlignment="1" applyProtection="1">
      <alignment horizontal="center" vertical="center"/>
    </xf>
    <xf numFmtId="0" fontId="2" fillId="0" borderId="1" xfId="0" applyFont="1" applyBorder="1" applyAlignment="1" applyProtection="1">
      <alignment horizontal="center" vertical="center"/>
    </xf>
    <xf numFmtId="0" fontId="3" fillId="0" borderId="1" xfId="0" applyFont="1" applyBorder="1" applyAlignment="1" applyProtection="1">
      <alignment horizontal="right" vertical="center"/>
    </xf>
    <xf numFmtId="44" fontId="3" fillId="0" borderId="5" xfId="1" applyFont="1" applyBorder="1" applyAlignment="1" applyProtection="1">
      <alignment horizontal="center" vertical="center"/>
    </xf>
    <xf numFmtId="44" fontId="3" fillId="0" borderId="7" xfId="1" applyFont="1" applyBorder="1" applyAlignment="1" applyProtection="1">
      <alignment horizontal="center" vertical="center"/>
    </xf>
    <xf numFmtId="44" fontId="3" fillId="0" borderId="1" xfId="1" applyFont="1" applyBorder="1" applyAlignment="1" applyProtection="1">
      <alignment horizontal="center" vertical="center"/>
    </xf>
    <xf numFmtId="49" fontId="3" fillId="0" borderId="1" xfId="0" applyNumberFormat="1" applyFont="1" applyBorder="1" applyAlignment="1" applyProtection="1">
      <alignment horizontal="right"/>
    </xf>
    <xf numFmtId="49" fontId="2" fillId="0" borderId="5" xfId="0" applyNumberFormat="1" applyFont="1" applyBorder="1" applyAlignment="1" applyProtection="1">
      <alignment horizontal="left" vertical="top"/>
    </xf>
    <xf numFmtId="0" fontId="12" fillId="0" borderId="1" xfId="0" applyFont="1" applyBorder="1" applyAlignment="1" applyProtection="1">
      <alignment horizontal="right"/>
    </xf>
    <xf numFmtId="0" fontId="2" fillId="7" borderId="0" xfId="0" applyFont="1" applyFill="1" applyAlignment="1" applyProtection="1">
      <alignment horizontal="center"/>
    </xf>
    <xf numFmtId="0" fontId="2" fillId="2" borderId="0" xfId="0" applyFont="1" applyFill="1" applyAlignment="1" applyProtection="1">
      <alignment horizontal="left" vertical="top" wrapText="1"/>
    </xf>
    <xf numFmtId="0" fontId="11" fillId="0" borderId="0" xfId="0" applyFont="1" applyAlignment="1">
      <alignment horizontal="center" vertical="top" wrapText="1"/>
    </xf>
    <xf numFmtId="0" fontId="6" fillId="0" borderId="0" xfId="0" applyFont="1" applyAlignment="1">
      <alignment horizontal="center" vertical="top" wrapText="1"/>
    </xf>
    <xf numFmtId="0" fontId="2" fillId="0" borderId="0" xfId="0" applyFont="1" applyAlignment="1">
      <alignment horizontal="left" vertical="top"/>
    </xf>
    <xf numFmtId="0" fontId="2" fillId="0" borderId="0" xfId="0" applyFont="1" applyAlignment="1" applyProtection="1">
      <alignment horizontal="left" vertical="top"/>
    </xf>
    <xf numFmtId="0" fontId="3" fillId="0" borderId="1" xfId="0" applyFont="1" applyBorder="1" applyAlignment="1">
      <alignment horizontal="right"/>
    </xf>
    <xf numFmtId="0" fontId="2" fillId="0" borderId="1" xfId="0" applyFont="1" applyBorder="1" applyAlignment="1">
      <alignment horizontal="center"/>
    </xf>
    <xf numFmtId="0" fontId="2" fillId="0" borderId="1" xfId="0" applyFont="1" applyBorder="1" applyAlignment="1" applyProtection="1">
      <alignment horizontal="center"/>
      <protection locked="0"/>
    </xf>
  </cellXfs>
  <cellStyles count="4">
    <cellStyle name="Comma" xfId="3" builtinId="3"/>
    <cellStyle name="Currency" xfId="1" builtinId="4"/>
    <cellStyle name="Normal" xfId="0" builtinId="0"/>
    <cellStyle name="Percent" xfId="2" builtinId="5"/>
  </cellStyles>
  <dxfs count="20">
    <dxf>
      <font>
        <b val="0"/>
        <i val="0"/>
        <strike val="0"/>
        <condense val="0"/>
        <extend val="0"/>
        <outline val="0"/>
        <shadow val="0"/>
        <u val="none"/>
        <vertAlign val="baseline"/>
        <sz val="10"/>
        <color theme="1"/>
        <name val="Arial"/>
        <scheme val="none"/>
      </font>
      <numFmt numFmtId="164" formatCode="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numFmt numFmtId="34" formatCode="_(&quot;$&quot;* #,##0.00_);_(&quot;$&quot;* \(#,##0.00\);_(&quot;$&quot;* &quot;-&quot;??_);_(@_)"/>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0"/>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font>
        <strike val="0"/>
        <outline val="0"/>
        <shadow val="0"/>
        <u val="none"/>
        <vertAlign val="baseline"/>
        <sz val="11"/>
        <color theme="1"/>
        <name val="Arial"/>
        <scheme val="none"/>
      </font>
      <alignment horizontal="left" vertical="center"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strike val="0"/>
        <outline val="0"/>
        <shadow val="0"/>
        <u val="none"/>
        <vertAlign val="baseline"/>
        <sz val="11"/>
        <color theme="1"/>
        <name val="Arial"/>
        <scheme val="none"/>
      </font>
      <alignment horizontal="general" vertical="bottom" textRotation="0" wrapText="1" indent="0" justifyLastLine="0" shrinkToFit="0" readingOrder="0"/>
    </dxf>
    <dxf>
      <numFmt numFmtId="34" formatCode="_(&quot;$&quot;* #,##0.00_);_(&quot;$&quot;* \(#,##0.00\);_(&quot;$&quot;* &quot;-&quot;??_);_(@_)"/>
    </dxf>
    <dxf>
      <font>
        <color theme="0"/>
      </font>
    </dxf>
    <dxf>
      <font>
        <strike val="0"/>
        <color theme="1"/>
      </font>
      <fill>
        <patternFill patternType="solid">
          <bgColor theme="2"/>
        </patternFill>
      </fill>
    </dxf>
    <dxf>
      <font>
        <strike val="0"/>
        <color theme="1"/>
      </font>
      <fill>
        <patternFill patternType="solid">
          <bgColor them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4.emf"/><Relationship Id="rId1" Type="http://schemas.openxmlformats.org/officeDocument/2006/relationships/image" Target="../media/image7.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25</xdr:row>
          <xdr:rowOff>19050</xdr:rowOff>
        </xdr:from>
        <xdr:to>
          <xdr:col>0</xdr:col>
          <xdr:colOff>352425</xdr:colOff>
          <xdr:row>25</xdr:row>
          <xdr:rowOff>171450</xdr:rowOff>
        </xdr:to>
        <xdr:sp macro="" textlink="">
          <xdr:nvSpPr>
            <xdr:cNvPr id="1026" name="CheckBox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21</xdr:row>
          <xdr:rowOff>38100</xdr:rowOff>
        </xdr:from>
        <xdr:to>
          <xdr:col>0</xdr:col>
          <xdr:colOff>352425</xdr:colOff>
          <xdr:row>22</xdr:row>
          <xdr:rowOff>19050</xdr:rowOff>
        </xdr:to>
        <xdr:sp macro="" textlink="">
          <xdr:nvSpPr>
            <xdr:cNvPr id="1053" name="CheckBox5"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30</xdr:row>
          <xdr:rowOff>19050</xdr:rowOff>
        </xdr:from>
        <xdr:to>
          <xdr:col>0</xdr:col>
          <xdr:colOff>361950</xdr:colOff>
          <xdr:row>31</xdr:row>
          <xdr:rowOff>0</xdr:rowOff>
        </xdr:to>
        <xdr:sp macro="" textlink="">
          <xdr:nvSpPr>
            <xdr:cNvPr id="1054" name="CheckBox6"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31</xdr:row>
          <xdr:rowOff>19050</xdr:rowOff>
        </xdr:from>
        <xdr:to>
          <xdr:col>0</xdr:col>
          <xdr:colOff>361950</xdr:colOff>
          <xdr:row>32</xdr:row>
          <xdr:rowOff>0</xdr:rowOff>
        </xdr:to>
        <xdr:sp macro="" textlink="">
          <xdr:nvSpPr>
            <xdr:cNvPr id="1055" name="CheckBox7"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33</xdr:row>
          <xdr:rowOff>19050</xdr:rowOff>
        </xdr:from>
        <xdr:to>
          <xdr:col>0</xdr:col>
          <xdr:colOff>361950</xdr:colOff>
          <xdr:row>34</xdr:row>
          <xdr:rowOff>0</xdr:rowOff>
        </xdr:to>
        <xdr:sp macro="" textlink="">
          <xdr:nvSpPr>
            <xdr:cNvPr id="1056" name="CheckBox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32</xdr:row>
          <xdr:rowOff>19050</xdr:rowOff>
        </xdr:from>
        <xdr:to>
          <xdr:col>0</xdr:col>
          <xdr:colOff>361950</xdr:colOff>
          <xdr:row>33</xdr:row>
          <xdr:rowOff>0</xdr:rowOff>
        </xdr:to>
        <xdr:sp macro="" textlink="">
          <xdr:nvSpPr>
            <xdr:cNvPr id="1057" name="CheckBox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34</xdr:row>
          <xdr:rowOff>19050</xdr:rowOff>
        </xdr:from>
        <xdr:to>
          <xdr:col>0</xdr:col>
          <xdr:colOff>361950</xdr:colOff>
          <xdr:row>35</xdr:row>
          <xdr:rowOff>0</xdr:rowOff>
        </xdr:to>
        <xdr:sp macro="" textlink="">
          <xdr:nvSpPr>
            <xdr:cNvPr id="1058" name="CheckBox10"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35</xdr:row>
          <xdr:rowOff>19050</xdr:rowOff>
        </xdr:from>
        <xdr:to>
          <xdr:col>0</xdr:col>
          <xdr:colOff>361950</xdr:colOff>
          <xdr:row>36</xdr:row>
          <xdr:rowOff>0</xdr:rowOff>
        </xdr:to>
        <xdr:sp macro="" textlink="">
          <xdr:nvSpPr>
            <xdr:cNvPr id="1059" name="CheckBox11"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504825</xdr:colOff>
          <xdr:row>2</xdr:row>
          <xdr:rowOff>57150</xdr:rowOff>
        </xdr:to>
        <xdr:sp macro="" textlink="">
          <xdr:nvSpPr>
            <xdr:cNvPr id="1061" name="CommandButton1"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xdr:row>
          <xdr:rowOff>152400</xdr:rowOff>
        </xdr:from>
        <xdr:to>
          <xdr:col>6</xdr:col>
          <xdr:colOff>247650</xdr:colOff>
          <xdr:row>4</xdr:row>
          <xdr:rowOff>142875</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solidFill>
              <a:srgbClr val="FFFF00" mc:Ignorable="a14" a14:legacySpreadsheetColorIndex="13"/>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26</xdr:row>
          <xdr:rowOff>171450</xdr:rowOff>
        </xdr:from>
        <xdr:to>
          <xdr:col>0</xdr:col>
          <xdr:colOff>333375</xdr:colOff>
          <xdr:row>28</xdr:row>
          <xdr:rowOff>47625</xdr:rowOff>
        </xdr:to>
        <xdr:sp macro="" textlink="">
          <xdr:nvSpPr>
            <xdr:cNvPr id="1067" name="CheckBox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161925</xdr:colOff>
          <xdr:row>25</xdr:row>
          <xdr:rowOff>142875</xdr:rowOff>
        </xdr:from>
        <xdr:to>
          <xdr:col>0</xdr:col>
          <xdr:colOff>371475</xdr:colOff>
          <xdr:row>27</xdr:row>
          <xdr:rowOff>66675</xdr:rowOff>
        </xdr:to>
        <xdr:sp macro="" textlink="">
          <xdr:nvSpPr>
            <xdr:cNvPr id="9217" name="CheckBox4"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23</xdr:row>
          <xdr:rowOff>19050</xdr:rowOff>
        </xdr:from>
        <xdr:to>
          <xdr:col>0</xdr:col>
          <xdr:colOff>361950</xdr:colOff>
          <xdr:row>24</xdr:row>
          <xdr:rowOff>0</xdr:rowOff>
        </xdr:to>
        <xdr:sp macro="" textlink="">
          <xdr:nvSpPr>
            <xdr:cNvPr id="9218" name="CheckBox1"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24</xdr:row>
          <xdr:rowOff>19050</xdr:rowOff>
        </xdr:from>
        <xdr:to>
          <xdr:col>0</xdr:col>
          <xdr:colOff>361950</xdr:colOff>
          <xdr:row>25</xdr:row>
          <xdr:rowOff>0</xdr:rowOff>
        </xdr:to>
        <xdr:sp macro="" textlink="">
          <xdr:nvSpPr>
            <xdr:cNvPr id="9219" name="CheckBox2"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25</xdr:row>
          <xdr:rowOff>19050</xdr:rowOff>
        </xdr:from>
        <xdr:to>
          <xdr:col>0</xdr:col>
          <xdr:colOff>361950</xdr:colOff>
          <xdr:row>26</xdr:row>
          <xdr:rowOff>0</xdr:rowOff>
        </xdr:to>
        <xdr:sp macro="" textlink="">
          <xdr:nvSpPr>
            <xdr:cNvPr id="9220" name="CheckBox3"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0</xdr:row>
          <xdr:rowOff>38100</xdr:rowOff>
        </xdr:from>
        <xdr:to>
          <xdr:col>11</xdr:col>
          <xdr:colOff>228600</xdr:colOff>
          <xdr:row>2</xdr:row>
          <xdr:rowOff>57150</xdr:rowOff>
        </xdr:to>
        <xdr:sp macro="" textlink="">
          <xdr:nvSpPr>
            <xdr:cNvPr id="9228" name="CommandButton1"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xdr:colOff>
          <xdr:row>28</xdr:row>
          <xdr:rowOff>19050</xdr:rowOff>
        </xdr:from>
        <xdr:to>
          <xdr:col>11</xdr:col>
          <xdr:colOff>419100</xdr:colOff>
          <xdr:row>30</xdr:row>
          <xdr:rowOff>85725</xdr:rowOff>
        </xdr:to>
        <xdr:sp macro="" textlink="">
          <xdr:nvSpPr>
            <xdr:cNvPr id="9231" name="CommandButton2"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xdr:row>
          <xdr:rowOff>9525</xdr:rowOff>
        </xdr:from>
        <xdr:to>
          <xdr:col>6</xdr:col>
          <xdr:colOff>247650</xdr:colOff>
          <xdr:row>4</xdr:row>
          <xdr:rowOff>180975</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solidFill>
              <a:srgbClr val="FFFF00" mc:Ignorable="a14" a14:legacySpreadsheetColorIndex="13"/>
            </a:solidFill>
            <a:ln w="9525">
              <a:solidFill>
                <a:srgbClr val="000000"/>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66675</xdr:colOff>
          <xdr:row>0</xdr:row>
          <xdr:rowOff>28575</xdr:rowOff>
        </xdr:from>
        <xdr:to>
          <xdr:col>13</xdr:col>
          <xdr:colOff>361950</xdr:colOff>
          <xdr:row>2</xdr:row>
          <xdr:rowOff>9525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12" displayName="Table12" ref="A1:BC2" totalsRowShown="0">
  <autoFilter ref="A1:BC2" xr:uid="{00000000-0009-0000-0100-00000C000000}"/>
  <tableColumns count="55">
    <tableColumn id="1" xr3:uid="{00000000-0010-0000-0000-000001000000}" name="CO#"/>
    <tableColumn id="2" xr3:uid="{00000000-0010-0000-0000-000002000000}" name="qty1"/>
    <tableColumn id="3" xr3:uid="{00000000-0010-0000-0000-000003000000}" name="des1"/>
    <tableColumn id="4" xr3:uid="{00000000-0010-0000-0000-000004000000}" name="price1"/>
    <tableColumn id="5" xr3:uid="{00000000-0010-0000-0000-000005000000}" name="qty2"/>
    <tableColumn id="6" xr3:uid="{00000000-0010-0000-0000-000006000000}" name="des2"/>
    <tableColumn id="7" xr3:uid="{00000000-0010-0000-0000-000007000000}" name="price2"/>
    <tableColumn id="8" xr3:uid="{00000000-0010-0000-0000-000008000000}" name="qty3"/>
    <tableColumn id="9" xr3:uid="{00000000-0010-0000-0000-000009000000}" name="des3"/>
    <tableColumn id="10" xr3:uid="{00000000-0010-0000-0000-00000A000000}" name="price3"/>
    <tableColumn id="11" xr3:uid="{00000000-0010-0000-0000-00000B000000}" name="qty4"/>
    <tableColumn id="12" xr3:uid="{00000000-0010-0000-0000-00000C000000}" name="des4"/>
    <tableColumn id="13" xr3:uid="{00000000-0010-0000-0000-00000D000000}" name="price4"/>
    <tableColumn id="14" xr3:uid="{00000000-0010-0000-0000-00000E000000}" name="qty5"/>
    <tableColumn id="15" xr3:uid="{00000000-0010-0000-0000-00000F000000}" name="des5"/>
    <tableColumn id="16" xr3:uid="{00000000-0010-0000-0000-000010000000}" name="price5"/>
    <tableColumn id="17" xr3:uid="{00000000-0010-0000-0000-000011000000}" name="qty6"/>
    <tableColumn id="18" xr3:uid="{00000000-0010-0000-0000-000012000000}" name="des6"/>
    <tableColumn id="19" xr3:uid="{00000000-0010-0000-0000-000013000000}" name="price6"/>
    <tableColumn id="20" xr3:uid="{00000000-0010-0000-0000-000014000000}" name="qty7"/>
    <tableColumn id="21" xr3:uid="{00000000-0010-0000-0000-000015000000}" name="des7"/>
    <tableColumn id="22" xr3:uid="{00000000-0010-0000-0000-000016000000}" name="price7"/>
    <tableColumn id="23" xr3:uid="{00000000-0010-0000-0000-000017000000}" name="qty8"/>
    <tableColumn id="24" xr3:uid="{00000000-0010-0000-0000-000018000000}" name="des8"/>
    <tableColumn id="25" xr3:uid="{00000000-0010-0000-0000-000019000000}" name="price8"/>
    <tableColumn id="26" xr3:uid="{00000000-0010-0000-0000-00001A000000}" name="qty9"/>
    <tableColumn id="27" xr3:uid="{00000000-0010-0000-0000-00001B000000}" name="des9"/>
    <tableColumn id="28" xr3:uid="{00000000-0010-0000-0000-00001C000000}" name="price9"/>
    <tableColumn id="29" xr3:uid="{00000000-0010-0000-0000-00001D000000}" name="qty10"/>
    <tableColumn id="30" xr3:uid="{00000000-0010-0000-0000-00001E000000}" name="des10"/>
    <tableColumn id="31" xr3:uid="{00000000-0010-0000-0000-00001F000000}" name="price10"/>
    <tableColumn id="32" xr3:uid="{00000000-0010-0000-0000-000020000000}" name="qty11"/>
    <tableColumn id="33" xr3:uid="{00000000-0010-0000-0000-000021000000}" name="des11"/>
    <tableColumn id="34" xr3:uid="{00000000-0010-0000-0000-000022000000}" name="price11"/>
    <tableColumn id="35" xr3:uid="{00000000-0010-0000-0000-000023000000}" name="qty12"/>
    <tableColumn id="36" xr3:uid="{00000000-0010-0000-0000-000024000000}" name="des12"/>
    <tableColumn id="37" xr3:uid="{00000000-0010-0000-0000-000025000000}" name="price12"/>
    <tableColumn id="38" xr3:uid="{00000000-0010-0000-0000-000026000000}" name="qty13"/>
    <tableColumn id="39" xr3:uid="{00000000-0010-0000-0000-000027000000}" name="des13"/>
    <tableColumn id="40" xr3:uid="{00000000-0010-0000-0000-000028000000}" name="price13"/>
    <tableColumn id="41" xr3:uid="{00000000-0010-0000-0000-000029000000}" name="qty14"/>
    <tableColumn id="42" xr3:uid="{00000000-0010-0000-0000-00002A000000}" name="des14"/>
    <tableColumn id="43" xr3:uid="{00000000-0010-0000-0000-00002B000000}" name="price14"/>
    <tableColumn id="44" xr3:uid="{00000000-0010-0000-0000-00002C000000}" name="qty15"/>
    <tableColumn id="45" xr3:uid="{00000000-0010-0000-0000-00002D000000}" name="des15"/>
    <tableColumn id="46" xr3:uid="{00000000-0010-0000-0000-00002E000000}" name="price15"/>
    <tableColumn id="47" xr3:uid="{00000000-0010-0000-0000-00002F000000}" name="Freight"/>
    <tableColumn id="48" xr3:uid="{00000000-0010-0000-0000-000030000000}" name="Tax" dataCellStyle="Percent"/>
    <tableColumn id="49" xr3:uid="{00000000-0010-0000-0000-000031000000}" name="Subtotal" dataDxfId="16">
      <calculatedColumnFormula>Table12[qty1]*Table12[price1]+Table12[qty2]*Table12[price2]+Table12[qty3]*Table12[price3]+Table12[qty4]*Table12[price4]+Table12[qty5]*Table12[price5]+Table12[qty6]*Table12[price6]+Table12[qty7]*Table12[price7]+Table12[qty8]*Table12[price8]+Table12[qty9]*Table12[price9]+Table12[qty10]*Table12[price10]+Table12[qty11]*Table12[price11]+Table12[qty12]*Table12[price12]+Table12[qty13]*Table12[price13]+Table12[qty14]*Table12[price14]+Table12[qty15]*Table12[price15]</calculatedColumnFormula>
    </tableColumn>
    <tableColumn id="50" xr3:uid="{00000000-0010-0000-0000-000032000000}" name="Tax2" dataCellStyle="Currency">
      <calculatedColumnFormula>IFERROR((Table12[Subtotal]+Table12[Freight])*Table12[Tax],Table12[Subtotal]*Table12[Tax])</calculatedColumnFormula>
    </tableColumn>
    <tableColumn id="51" xr3:uid="{00000000-0010-0000-0000-000033000000}" name="Total" dataCellStyle="Currency">
      <calculatedColumnFormula>Table12[Tax2]+Table12[Subtotal]+Table12[Freight]</calculatedColumnFormula>
    </tableColumn>
    <tableColumn id="52" xr3:uid="{00000000-0010-0000-0000-000034000000}" name="Brief Des"/>
    <tableColumn id="53" xr3:uid="{00000000-0010-0000-0000-000035000000}" name="Date"/>
    <tableColumn id="54" xr3:uid="{00000000-0010-0000-0000-000036000000}" name="Scope"/>
    <tableColumn id="55" xr3:uid="{00000000-0010-0000-0000-000037000000}" name="Documen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L3" totalsRowShown="0" dataDxfId="15">
  <autoFilter ref="A1:L3" xr:uid="{00000000-0009-0000-0100-000001000000}"/>
  <tableColumns count="12">
    <tableColumn id="1" xr3:uid="{00000000-0010-0000-0100-000001000000}" name="TYPE" dataDxfId="14"/>
    <tableColumn id="2" xr3:uid="{00000000-0010-0000-0100-000002000000}" name="DESCRIPTION 1" dataDxfId="13"/>
    <tableColumn id="3" xr3:uid="{00000000-0010-0000-0100-000003000000}" name="DESCRIPTION 2" dataDxfId="12"/>
    <tableColumn id="4" xr3:uid="{00000000-0010-0000-0100-000004000000}" name="OTHER 1" dataDxfId="11"/>
    <tableColumn id="5" xr3:uid="{00000000-0010-0000-0100-000005000000}" name="OTHER 2" dataDxfId="10"/>
    <tableColumn id="6" xr3:uid="{00000000-0010-0000-0100-000006000000}" name="RIDER E" dataDxfId="9"/>
    <tableColumn id="7" xr3:uid="{00000000-0010-0000-0100-000007000000}" name="RIDER F" dataDxfId="8"/>
    <tableColumn id="9" xr3:uid="{00000000-0010-0000-0100-000009000000}" name="Total" dataDxfId="7">
      <calculatedColumnFormula>Pricing!D36</calculatedColumnFormula>
    </tableColumn>
    <tableColumn id="10" xr3:uid="{00000000-0010-0000-0100-00000A000000}" name="bottom" dataDxfId="6"/>
    <tableColumn id="8" xr3:uid="{00000000-0010-0000-0100-000008000000}" name="tax exemption" dataDxfId="5"/>
    <tableColumn id="13" xr3:uid="{00000000-0010-0000-0100-00000D000000}" name="Column1" dataDxfId="4"/>
    <tableColumn id="11" xr3:uid="{00000000-0010-0000-0100-00000B000000}" name="Column2"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5:B9" totalsRowShown="0" tableBorderDxfId="2">
  <autoFilter ref="A5:B9" xr:uid="{00000000-0009-0000-0100-000002000000}"/>
  <tableColumns count="2">
    <tableColumn id="1" xr3:uid="{00000000-0010-0000-0200-000001000000}" name="Tax" dataDxfId="1"/>
    <tableColumn id="2" xr3:uid="{00000000-0010-0000-0200-000002000000}" name="Amount" dataDxfId="0" dataCellStyle="Perc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D5:F9" totalsRowShown="0">
  <autoFilter ref="D5:F9" xr:uid="{00000000-0009-0000-0100-000003000000}"/>
  <tableColumns count="3">
    <tableColumn id="2" xr3:uid="{00000000-0010-0000-0300-000002000000}" name="Place"/>
    <tableColumn id="3" xr3:uid="{00000000-0010-0000-0300-000003000000}" name="Address"/>
    <tableColumn id="4" xr3:uid="{00000000-0010-0000-0300-000004000000}" name="C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6.xml"/><Relationship Id="rId18"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ontrol" Target="../activeX/activeX10.xml"/><Relationship Id="rId2" Type="http://schemas.openxmlformats.org/officeDocument/2006/relationships/drawing" Target="../drawings/drawing1.xml"/><Relationship Id="rId16"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ntrol" Target="../activeX/activeX8.xml"/><Relationship Id="rId10" Type="http://schemas.openxmlformats.org/officeDocument/2006/relationships/control" Target="../activeX/activeX4.xml"/><Relationship Id="rId19"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8.emf"/><Relationship Id="rId3" Type="http://schemas.openxmlformats.org/officeDocument/2006/relationships/vmlDrawing" Target="../drawings/vmlDrawing2.vml"/><Relationship Id="rId7" Type="http://schemas.openxmlformats.org/officeDocument/2006/relationships/image" Target="../media/image7.emf"/><Relationship Id="rId12" Type="http://schemas.openxmlformats.org/officeDocument/2006/relationships/control" Target="../activeX/activeX16.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control" Target="../activeX/activeX15.xml"/><Relationship Id="rId5" Type="http://schemas.openxmlformats.org/officeDocument/2006/relationships/image" Target="../media/image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4.emf"/><Relationship Id="rId1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openxmlformats.org/officeDocument/2006/relationships/image" Target="../media/image9.emf"/><Relationship Id="rId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60"/>
  <sheetViews>
    <sheetView showGridLines="0" tabSelected="1" zoomScale="85" zoomScaleNormal="85" zoomScaleSheetLayoutView="85" zoomScalePageLayoutView="70" workbookViewId="0">
      <selection activeCell="G7" sqref="G7:I7"/>
    </sheetView>
  </sheetViews>
  <sheetFormatPr defaultColWidth="0" defaultRowHeight="14.25" zeroHeight="1" x14ac:dyDescent="0.2"/>
  <cols>
    <col min="1" max="1" width="6.28515625" style="1" customWidth="1"/>
    <col min="2" max="2" width="13.7109375" style="1" customWidth="1"/>
    <col min="3" max="3" width="11.7109375" style="1" customWidth="1"/>
    <col min="4" max="4" width="13" style="1" customWidth="1"/>
    <col min="5" max="5" width="1.28515625" style="1" customWidth="1"/>
    <col min="6" max="6" width="10.7109375" style="1" customWidth="1"/>
    <col min="7" max="7" width="6.85546875" style="1" customWidth="1"/>
    <col min="8" max="8" width="10" style="1" bestFit="1" customWidth="1"/>
    <col min="9" max="9" width="16.5703125" style="1" customWidth="1"/>
    <col min="10" max="10" width="9.140625" style="86" customWidth="1"/>
    <col min="11" max="11" width="5" style="86" customWidth="1"/>
    <col min="12" max="12" width="9.140625" style="86" customWidth="1"/>
    <col min="13" max="16384" width="9.140625" style="86" hidden="1"/>
  </cols>
  <sheetData>
    <row r="1" spans="1:12" ht="15" x14ac:dyDescent="0.25">
      <c r="A1" s="16"/>
      <c r="B1" s="16"/>
      <c r="C1" s="16"/>
      <c r="D1" s="16"/>
      <c r="E1" s="16"/>
      <c r="F1" s="16"/>
      <c r="G1" s="16"/>
      <c r="H1" s="112" t="s">
        <v>16</v>
      </c>
      <c r="I1" s="112"/>
      <c r="J1" s="122"/>
      <c r="K1" s="122"/>
      <c r="L1" s="122"/>
    </row>
    <row r="2" spans="1:12" x14ac:dyDescent="0.2">
      <c r="A2" s="16"/>
      <c r="B2" s="16"/>
      <c r="C2" s="16"/>
      <c r="D2" s="16"/>
      <c r="E2" s="16"/>
      <c r="F2" s="16"/>
      <c r="G2" s="16"/>
      <c r="H2" s="17" t="s">
        <v>0</v>
      </c>
      <c r="I2" s="25" t="s">
        <v>189</v>
      </c>
      <c r="J2" s="122"/>
      <c r="K2" s="122"/>
      <c r="L2" s="122"/>
    </row>
    <row r="3" spans="1:12" x14ac:dyDescent="0.2">
      <c r="A3" s="16"/>
      <c r="B3" s="16"/>
      <c r="C3" s="16"/>
      <c r="D3" s="16"/>
      <c r="E3" s="16"/>
      <c r="F3" s="16"/>
      <c r="G3" s="16"/>
      <c r="H3" s="17" t="s">
        <v>1</v>
      </c>
      <c r="I3" s="25">
        <v>0</v>
      </c>
      <c r="J3" s="122"/>
      <c r="K3" s="122"/>
      <c r="L3" s="122"/>
    </row>
    <row r="4" spans="1:12" x14ac:dyDescent="0.2">
      <c r="A4" s="16"/>
      <c r="B4" s="16"/>
      <c r="C4" s="16"/>
      <c r="D4" s="16"/>
      <c r="E4" s="16"/>
      <c r="F4" s="16"/>
      <c r="G4" s="16"/>
      <c r="H4" s="17" t="s">
        <v>2</v>
      </c>
      <c r="I4" s="25" t="str">
        <f>IF(H1="SUBCONTRACT", "SU", "EQ")</f>
        <v>SU</v>
      </c>
      <c r="J4" s="122"/>
      <c r="K4" s="122"/>
      <c r="L4" s="122"/>
    </row>
    <row r="5" spans="1:12" ht="15" customHeight="1" x14ac:dyDescent="0.2">
      <c r="A5" s="120" t="s">
        <v>172</v>
      </c>
      <c r="B5" s="120"/>
      <c r="C5" s="120"/>
      <c r="D5" s="120"/>
      <c r="E5" s="120"/>
      <c r="F5" s="120"/>
      <c r="G5" s="16"/>
      <c r="H5" s="16"/>
      <c r="I5" s="16"/>
      <c r="J5" s="122"/>
      <c r="K5" s="122"/>
      <c r="L5" s="122"/>
    </row>
    <row r="6" spans="1:12" x14ac:dyDescent="0.2">
      <c r="A6" s="114" t="s">
        <v>3</v>
      </c>
      <c r="B6" s="113" t="s">
        <v>9</v>
      </c>
      <c r="C6" s="113"/>
      <c r="D6" s="113"/>
      <c r="E6" s="16"/>
      <c r="F6" s="114" t="s">
        <v>5</v>
      </c>
      <c r="G6" s="113" t="s">
        <v>200</v>
      </c>
      <c r="H6" s="113"/>
      <c r="I6" s="113"/>
      <c r="J6" s="122"/>
      <c r="K6" s="122"/>
      <c r="L6" s="122"/>
    </row>
    <row r="7" spans="1:12" x14ac:dyDescent="0.2">
      <c r="A7" s="115"/>
      <c r="B7" s="113" t="s">
        <v>10</v>
      </c>
      <c r="C7" s="113"/>
      <c r="D7" s="113"/>
      <c r="E7" s="16"/>
      <c r="F7" s="115"/>
      <c r="G7" s="113" t="s">
        <v>73</v>
      </c>
      <c r="H7" s="113"/>
      <c r="I7" s="113"/>
      <c r="J7" s="122"/>
      <c r="K7" s="122"/>
      <c r="L7" s="122"/>
    </row>
    <row r="8" spans="1:12" x14ac:dyDescent="0.2">
      <c r="A8" s="115"/>
      <c r="B8" s="113" t="s">
        <v>11</v>
      </c>
      <c r="C8" s="113"/>
      <c r="D8" s="113"/>
      <c r="E8" s="16"/>
      <c r="F8" s="115"/>
      <c r="G8" s="113" t="str">
        <f>VLOOKUP(G7,Table3[],2,FALSE)</f>
        <v>Example</v>
      </c>
      <c r="H8" s="113"/>
      <c r="I8" s="113"/>
      <c r="J8" s="122"/>
      <c r="K8" s="122"/>
      <c r="L8" s="122"/>
    </row>
    <row r="9" spans="1:12" x14ac:dyDescent="0.2">
      <c r="A9" s="116"/>
      <c r="B9" s="113" t="s">
        <v>12</v>
      </c>
      <c r="C9" s="113"/>
      <c r="D9" s="113"/>
      <c r="E9" s="16"/>
      <c r="F9" s="116"/>
      <c r="G9" s="113" t="str">
        <f>VLOOKUP(G7,Table3[],3,FALSE)</f>
        <v>Example, PA XXXXX</v>
      </c>
      <c r="H9" s="113"/>
      <c r="I9" s="113"/>
      <c r="J9" s="122"/>
      <c r="K9" s="122"/>
      <c r="L9" s="122"/>
    </row>
    <row r="10" spans="1:12" x14ac:dyDescent="0.2">
      <c r="A10" s="17" t="s">
        <v>4</v>
      </c>
      <c r="B10" s="113" t="s">
        <v>13</v>
      </c>
      <c r="C10" s="113"/>
      <c r="D10" s="113"/>
      <c r="E10" s="16"/>
      <c r="F10" s="17" t="s">
        <v>4</v>
      </c>
      <c r="G10" s="113" t="s">
        <v>13</v>
      </c>
      <c r="H10" s="113"/>
      <c r="I10" s="113"/>
      <c r="J10" s="122"/>
      <c r="K10" s="122"/>
      <c r="L10" s="122"/>
    </row>
    <row r="11" spans="1:12" hidden="1" x14ac:dyDescent="0.2">
      <c r="A11" s="18"/>
      <c r="B11" s="19"/>
      <c r="C11" s="19"/>
      <c r="D11" s="19"/>
      <c r="E11" s="20"/>
      <c r="F11" s="18"/>
      <c r="G11" s="19"/>
      <c r="H11" s="19"/>
      <c r="I11" s="19"/>
      <c r="J11" s="122"/>
      <c r="K11" s="122"/>
      <c r="L11" s="122"/>
    </row>
    <row r="12" spans="1:12" hidden="1" x14ac:dyDescent="0.2">
      <c r="A12" s="110" t="s">
        <v>14</v>
      </c>
      <c r="B12" s="111"/>
      <c r="C12" s="117" t="s">
        <v>75</v>
      </c>
      <c r="D12" s="118"/>
      <c r="E12" s="110" t="s">
        <v>15</v>
      </c>
      <c r="F12" s="111"/>
      <c r="G12" s="117" t="s">
        <v>76</v>
      </c>
      <c r="H12" s="119"/>
      <c r="I12" s="118"/>
      <c r="J12" s="122"/>
      <c r="K12" s="122"/>
      <c r="L12" s="122"/>
    </row>
    <row r="13" spans="1:12" x14ac:dyDescent="0.2">
      <c r="J13" s="122"/>
      <c r="K13" s="122"/>
      <c r="L13" s="122"/>
    </row>
    <row r="14" spans="1:12" ht="15" customHeight="1" x14ac:dyDescent="0.2">
      <c r="A14" s="9" t="s">
        <v>6</v>
      </c>
      <c r="B14" s="30">
        <f ca="1">TODAY()</f>
        <v>44060</v>
      </c>
      <c r="C14" s="31" t="s">
        <v>8</v>
      </c>
      <c r="D14" s="117" t="s">
        <v>77</v>
      </c>
      <c r="E14" s="119"/>
      <c r="F14" s="119"/>
      <c r="G14" s="118"/>
      <c r="H14" s="10" t="s">
        <v>7</v>
      </c>
      <c r="I14" s="24" t="s">
        <v>78</v>
      </c>
      <c r="J14" s="122"/>
      <c r="K14" s="122"/>
      <c r="L14" s="122"/>
    </row>
    <row r="15" spans="1:12" s="87" customFormat="1" ht="12.75" customHeight="1" x14ac:dyDescent="0.2">
      <c r="A15" s="16"/>
      <c r="B15" s="16"/>
      <c r="C15" s="16"/>
      <c r="D15" s="16"/>
      <c r="E15" s="16"/>
      <c r="F15" s="16"/>
      <c r="G15" s="16"/>
      <c r="H15" s="16"/>
      <c r="I15" s="16"/>
      <c r="J15" s="122"/>
      <c r="K15" s="122"/>
      <c r="L15" s="122"/>
    </row>
    <row r="16" spans="1:12" s="87" customFormat="1" ht="15" customHeight="1" x14ac:dyDescent="0.2">
      <c r="A16" s="101" t="str">
        <f>VLOOKUP(H1,AutoFill!A1:B3,2,FALSE)</f>
        <v xml:space="preserve">SUBCONTRACTOR does hereby promise and agree to furnish all of the necessary office support, labor, materials, tools, equipment and supplies, together with any other items, necessary or incidental to the performance of the work described herein, and in the attachments listed below and attached hereto. All subcontracts over $500,000 must include Riders A thru G and must be approved by V.P. of Preconstruction. </v>
      </c>
      <c r="B16" s="101"/>
      <c r="C16" s="101"/>
      <c r="D16" s="101"/>
      <c r="E16" s="101"/>
      <c r="F16" s="101"/>
      <c r="G16" s="101"/>
      <c r="H16" s="101"/>
      <c r="I16" s="101"/>
      <c r="J16" s="122"/>
      <c r="K16" s="122"/>
      <c r="L16" s="122"/>
    </row>
    <row r="17" spans="1:12" s="87" customFormat="1" x14ac:dyDescent="0.2">
      <c r="A17" s="101"/>
      <c r="B17" s="101"/>
      <c r="C17" s="101"/>
      <c r="D17" s="101"/>
      <c r="E17" s="101"/>
      <c r="F17" s="101"/>
      <c r="G17" s="101"/>
      <c r="H17" s="101"/>
      <c r="I17" s="101"/>
      <c r="J17" s="122"/>
      <c r="K17" s="122"/>
      <c r="L17" s="122"/>
    </row>
    <row r="18" spans="1:12" s="87" customFormat="1" x14ac:dyDescent="0.2">
      <c r="A18" s="101"/>
      <c r="B18" s="101"/>
      <c r="C18" s="101"/>
      <c r="D18" s="101"/>
      <c r="E18" s="101"/>
      <c r="F18" s="101"/>
      <c r="G18" s="101"/>
      <c r="H18" s="101"/>
      <c r="I18" s="101"/>
      <c r="J18" s="122"/>
      <c r="K18" s="122"/>
      <c r="L18" s="122"/>
    </row>
    <row r="19" spans="1:12" s="87" customFormat="1" x14ac:dyDescent="0.2">
      <c r="A19" s="101"/>
      <c r="B19" s="101"/>
      <c r="C19" s="101"/>
      <c r="D19" s="101"/>
      <c r="E19" s="101"/>
      <c r="F19" s="101"/>
      <c r="G19" s="101"/>
      <c r="H19" s="101"/>
      <c r="I19" s="101"/>
      <c r="J19" s="122"/>
      <c r="K19" s="122"/>
      <c r="L19" s="122"/>
    </row>
    <row r="20" spans="1:12" s="87" customFormat="1" ht="14.25" customHeight="1" x14ac:dyDescent="0.2">
      <c r="A20" s="124" t="s">
        <v>177</v>
      </c>
      <c r="B20" s="124"/>
      <c r="C20" s="124"/>
      <c r="D20" s="124"/>
      <c r="E20" s="124"/>
      <c r="F20" s="124"/>
      <c r="G20" s="124"/>
      <c r="H20" s="124"/>
      <c r="I20" s="124"/>
      <c r="J20" s="122"/>
      <c r="K20" s="122"/>
      <c r="L20" s="122"/>
    </row>
    <row r="21" spans="1:12" s="87" customFormat="1" ht="14.25" customHeight="1" x14ac:dyDescent="0.2">
      <c r="A21" s="28" t="s">
        <v>28</v>
      </c>
      <c r="B21" s="76"/>
      <c r="C21" s="76"/>
      <c r="D21" s="76"/>
      <c r="E21" s="76"/>
      <c r="F21" s="76"/>
      <c r="G21" s="76"/>
      <c r="H21" s="76"/>
      <c r="I21" s="76"/>
      <c r="J21" s="122"/>
      <c r="K21" s="122"/>
      <c r="L21" s="122"/>
    </row>
    <row r="22" spans="1:12" s="87" customFormat="1" ht="14.25" customHeight="1" x14ac:dyDescent="0.2">
      <c r="A22" s="76"/>
      <c r="B22" s="123" t="s">
        <v>49</v>
      </c>
      <c r="C22" s="123"/>
      <c r="D22" s="123"/>
      <c r="E22" s="123"/>
      <c r="F22" s="123"/>
      <c r="G22" s="123"/>
      <c r="H22" s="123"/>
      <c r="I22" s="123"/>
      <c r="J22" s="122"/>
      <c r="K22" s="122"/>
      <c r="L22" s="122"/>
    </row>
    <row r="23" spans="1:12" s="87" customFormat="1" ht="14.25" customHeight="1" x14ac:dyDescent="0.2">
      <c r="A23" s="76"/>
      <c r="B23" s="76"/>
      <c r="C23" s="76"/>
      <c r="D23" s="76"/>
      <c r="E23" s="76"/>
      <c r="F23" s="76"/>
      <c r="G23" s="76"/>
      <c r="H23" s="76"/>
      <c r="I23" s="76"/>
      <c r="J23" s="122"/>
      <c r="K23" s="122"/>
      <c r="L23" s="122"/>
    </row>
    <row r="24" spans="1:12" s="87" customFormat="1" x14ac:dyDescent="0.2">
      <c r="A24" s="28" t="str">
        <f>H1 &amp;" RIDERS"</f>
        <v>SUBCONTRACT RIDERS</v>
      </c>
      <c r="B24" s="27"/>
      <c r="C24" s="27"/>
      <c r="D24" s="27"/>
      <c r="E24" s="27"/>
      <c r="F24" s="27"/>
      <c r="G24" s="27"/>
      <c r="H24" s="27"/>
      <c r="I24" s="27"/>
      <c r="J24" s="122"/>
      <c r="K24" s="122"/>
      <c r="L24" s="122"/>
    </row>
    <row r="25" spans="1:12" s="87" customFormat="1" ht="14.25" customHeight="1" x14ac:dyDescent="0.2">
      <c r="A25" s="27"/>
      <c r="B25" s="121" t="str">
        <f>VLOOKUP(H1,Table1[], 12, FALSE)</f>
        <v>RIDERS "A" (SCOPE). "B" (DOCUMENT LIST), "C" (SCHEDULE), "D" (SPECIAL CONDITIONS), RIDER "E" (INSURANCE REQUIREMENTS), RIDER "F" (RELEASE AND WAIVER OF LIENS), RIDER "G" (APPLICATION AND CERTIFICATE FOR PAYMENT FORM)</v>
      </c>
      <c r="C25" s="121"/>
      <c r="D25" s="121"/>
      <c r="E25" s="121"/>
      <c r="F25" s="121"/>
      <c r="G25" s="121"/>
      <c r="H25" s="121"/>
      <c r="I25" s="121"/>
      <c r="J25" s="122"/>
      <c r="K25" s="122"/>
      <c r="L25" s="122"/>
    </row>
    <row r="26" spans="1:12" s="87" customFormat="1" x14ac:dyDescent="0.2">
      <c r="A26" s="16"/>
      <c r="B26" s="121"/>
      <c r="C26" s="121"/>
      <c r="D26" s="121"/>
      <c r="E26" s="121"/>
      <c r="F26" s="121"/>
      <c r="G26" s="121"/>
      <c r="H26" s="121"/>
      <c r="I26" s="121"/>
      <c r="J26" s="122"/>
      <c r="K26" s="122"/>
      <c r="L26" s="122"/>
    </row>
    <row r="27" spans="1:12" s="87" customFormat="1" x14ac:dyDescent="0.2">
      <c r="A27" s="16"/>
      <c r="B27" s="121"/>
      <c r="C27" s="121"/>
      <c r="D27" s="121"/>
      <c r="E27" s="121"/>
      <c r="F27" s="121"/>
      <c r="G27" s="121"/>
      <c r="H27" s="121"/>
      <c r="I27" s="121"/>
      <c r="J27" s="122"/>
      <c r="K27" s="122"/>
      <c r="L27" s="122"/>
    </row>
    <row r="28" spans="1:12" s="87" customFormat="1" x14ac:dyDescent="0.2">
      <c r="A28" s="16"/>
      <c r="B28" s="121" t="s">
        <v>60</v>
      </c>
      <c r="C28" s="121"/>
      <c r="D28" s="121"/>
      <c r="E28" s="121"/>
      <c r="F28" s="121"/>
      <c r="G28" s="121"/>
      <c r="H28" s="121"/>
      <c r="I28" s="121"/>
      <c r="J28" s="122"/>
      <c r="K28" s="122"/>
      <c r="L28" s="122"/>
    </row>
    <row r="29" spans="1:12" s="87" customFormat="1" x14ac:dyDescent="0.2">
      <c r="A29" s="16"/>
      <c r="B29" s="16"/>
      <c r="C29" s="16"/>
      <c r="D29" s="16"/>
      <c r="E29" s="16"/>
      <c r="F29" s="16"/>
      <c r="G29" s="16"/>
      <c r="H29" s="16"/>
      <c r="I29" s="16"/>
      <c r="J29" s="122"/>
      <c r="K29" s="122"/>
      <c r="L29" s="122"/>
    </row>
    <row r="30" spans="1:12" s="87" customFormat="1" x14ac:dyDescent="0.2">
      <c r="A30" s="28" t="s">
        <v>48</v>
      </c>
      <c r="B30" s="16"/>
      <c r="C30" s="16"/>
      <c r="D30" s="16"/>
      <c r="E30" s="16"/>
      <c r="F30" s="16"/>
      <c r="G30" s="16"/>
      <c r="H30" s="16"/>
      <c r="I30" s="16"/>
      <c r="J30" s="122"/>
      <c r="K30" s="122"/>
      <c r="L30" s="122"/>
    </row>
    <row r="31" spans="1:12" s="87" customFormat="1" x14ac:dyDescent="0.2">
      <c r="A31" s="16"/>
      <c r="B31" s="99" t="s">
        <v>50</v>
      </c>
      <c r="C31" s="99"/>
      <c r="D31" s="99"/>
      <c r="E31" s="99"/>
      <c r="F31" s="99"/>
      <c r="G31" s="99"/>
      <c r="H31" s="99"/>
      <c r="I31" s="99"/>
      <c r="J31" s="122"/>
      <c r="K31" s="122"/>
      <c r="L31" s="122"/>
    </row>
    <row r="32" spans="1:12" s="87" customFormat="1" x14ac:dyDescent="0.2">
      <c r="A32" s="16"/>
      <c r="B32" s="99" t="s">
        <v>55</v>
      </c>
      <c r="C32" s="99"/>
      <c r="D32" s="99"/>
      <c r="E32" s="99"/>
      <c r="F32" s="99"/>
      <c r="G32" s="99"/>
      <c r="H32" s="99"/>
      <c r="I32" s="99"/>
      <c r="J32" s="122"/>
      <c r="K32" s="122"/>
      <c r="L32" s="122"/>
    </row>
    <row r="33" spans="1:12" s="87" customFormat="1" x14ac:dyDescent="0.2">
      <c r="A33" s="16"/>
      <c r="B33" s="99" t="s">
        <v>55</v>
      </c>
      <c r="C33" s="99"/>
      <c r="D33" s="99"/>
      <c r="E33" s="99"/>
      <c r="F33" s="99"/>
      <c r="G33" s="99"/>
      <c r="H33" s="99"/>
      <c r="I33" s="99"/>
      <c r="J33" s="122"/>
      <c r="K33" s="122"/>
      <c r="L33" s="122"/>
    </row>
    <row r="34" spans="1:12" s="87" customFormat="1" x14ac:dyDescent="0.2">
      <c r="A34" s="16"/>
      <c r="B34" s="99" t="s">
        <v>55</v>
      </c>
      <c r="C34" s="99"/>
      <c r="D34" s="99"/>
      <c r="E34" s="99"/>
      <c r="F34" s="99"/>
      <c r="G34" s="99"/>
      <c r="H34" s="99"/>
      <c r="I34" s="99"/>
      <c r="J34" s="122"/>
      <c r="K34" s="122"/>
      <c r="L34" s="122"/>
    </row>
    <row r="35" spans="1:12" s="87" customFormat="1" x14ac:dyDescent="0.2">
      <c r="A35" s="16"/>
      <c r="B35" s="99" t="s">
        <v>55</v>
      </c>
      <c r="C35" s="99"/>
      <c r="D35" s="99"/>
      <c r="E35" s="99"/>
      <c r="F35" s="99"/>
      <c r="G35" s="99"/>
      <c r="H35" s="99"/>
      <c r="I35" s="99"/>
      <c r="J35" s="122"/>
      <c r="K35" s="122"/>
      <c r="L35" s="122"/>
    </row>
    <row r="36" spans="1:12" s="87" customFormat="1" x14ac:dyDescent="0.2">
      <c r="A36" s="16"/>
      <c r="B36" s="99" t="s">
        <v>55</v>
      </c>
      <c r="C36" s="99"/>
      <c r="D36" s="99"/>
      <c r="E36" s="99"/>
      <c r="F36" s="99"/>
      <c r="G36" s="99"/>
      <c r="H36" s="99"/>
      <c r="I36" s="99"/>
      <c r="J36" s="122"/>
      <c r="K36" s="122"/>
      <c r="L36" s="122"/>
    </row>
    <row r="37" spans="1:12" s="87" customFormat="1" x14ac:dyDescent="0.2">
      <c r="A37" s="16"/>
      <c r="B37" s="16"/>
      <c r="C37" s="16"/>
      <c r="D37" s="16"/>
      <c r="E37" s="16"/>
      <c r="F37" s="16"/>
      <c r="G37" s="16"/>
      <c r="H37" s="16"/>
      <c r="I37" s="16"/>
      <c r="J37" s="122"/>
      <c r="K37" s="122"/>
      <c r="L37" s="122"/>
    </row>
    <row r="38" spans="1:12" s="87" customFormat="1" ht="15.75" customHeight="1" x14ac:dyDescent="0.2">
      <c r="A38" s="101" t="str">
        <f>VLOOKUP(H1,AutoFill!A2:C3,3,FALSE)</f>
        <v>SUBCONTRACTOR shall perform all of the work provided for herein in accordance with, and subject to, all of the terms and conditions set forth in this PURCHASE ORDER (including the Riders and attachments referenced herein and attached hereto) and the MASTER STANDING SUBCONTRACT between CONTRACTOR and SUBCONTRACTOR in effect at the date of this PURCHASE ORDER. The MASTER STANDING SUBCONTRACT, taken together with this PURCHASE ORDER, and the other CONTRACT DOCUMENTS for this project, shall constitute the entire agreement between CONTRACTOR and SUBCONTRACTOR with respect to this project (hereinafter referred to as the “SUBCONTRACT”)</v>
      </c>
      <c r="B38" s="101"/>
      <c r="C38" s="101"/>
      <c r="D38" s="101"/>
      <c r="E38" s="101"/>
      <c r="F38" s="101"/>
      <c r="G38" s="101"/>
      <c r="H38" s="101"/>
      <c r="I38" s="101"/>
      <c r="J38" s="122"/>
      <c r="K38" s="122"/>
      <c r="L38" s="122"/>
    </row>
    <row r="39" spans="1:12" s="87" customFormat="1" x14ac:dyDescent="0.2">
      <c r="A39" s="101"/>
      <c r="B39" s="101"/>
      <c r="C39" s="101"/>
      <c r="D39" s="101"/>
      <c r="E39" s="101"/>
      <c r="F39" s="101"/>
      <c r="G39" s="101"/>
      <c r="H39" s="101"/>
      <c r="I39" s="101"/>
      <c r="J39" s="122"/>
      <c r="K39" s="122"/>
      <c r="L39" s="122"/>
    </row>
    <row r="40" spans="1:12" s="87" customFormat="1" ht="14.25" customHeight="1" x14ac:dyDescent="0.2">
      <c r="A40" s="101"/>
      <c r="B40" s="101"/>
      <c r="C40" s="101"/>
      <c r="D40" s="101"/>
      <c r="E40" s="101"/>
      <c r="F40" s="101"/>
      <c r="G40" s="101"/>
      <c r="H40" s="101"/>
      <c r="I40" s="101"/>
      <c r="J40" s="122"/>
      <c r="K40" s="122"/>
      <c r="L40" s="122"/>
    </row>
    <row r="41" spans="1:12" s="87" customFormat="1" ht="14.25" hidden="1" customHeight="1" x14ac:dyDescent="0.2">
      <c r="A41" s="101"/>
      <c r="B41" s="101"/>
      <c r="C41" s="101"/>
      <c r="D41" s="101"/>
      <c r="E41" s="101"/>
      <c r="F41" s="101"/>
      <c r="G41" s="101"/>
      <c r="H41" s="101"/>
      <c r="I41" s="101"/>
      <c r="J41" s="122"/>
      <c r="K41" s="122"/>
      <c r="L41" s="122"/>
    </row>
    <row r="42" spans="1:12" s="87" customFormat="1" hidden="1" x14ac:dyDescent="0.2">
      <c r="A42" s="101"/>
      <c r="B42" s="101"/>
      <c r="C42" s="101"/>
      <c r="D42" s="101"/>
      <c r="E42" s="101"/>
      <c r="F42" s="101"/>
      <c r="G42" s="101"/>
      <c r="H42" s="101"/>
      <c r="I42" s="101"/>
      <c r="J42" s="122"/>
      <c r="K42" s="122"/>
      <c r="L42" s="122"/>
    </row>
    <row r="43" spans="1:12" s="87" customFormat="1" x14ac:dyDescent="0.2">
      <c r="A43" s="101"/>
      <c r="B43" s="101"/>
      <c r="C43" s="101"/>
      <c r="D43" s="101"/>
      <c r="E43" s="101"/>
      <c r="F43" s="101"/>
      <c r="G43" s="101"/>
      <c r="H43" s="101"/>
      <c r="I43" s="101"/>
      <c r="J43" s="122"/>
      <c r="K43" s="122"/>
      <c r="L43" s="122"/>
    </row>
    <row r="44" spans="1:12" s="87" customFormat="1" x14ac:dyDescent="0.2">
      <c r="A44" s="101"/>
      <c r="B44" s="101"/>
      <c r="C44" s="101"/>
      <c r="D44" s="101"/>
      <c r="E44" s="101"/>
      <c r="F44" s="101"/>
      <c r="G44" s="101"/>
      <c r="H44" s="101"/>
      <c r="I44" s="101"/>
      <c r="J44" s="122"/>
      <c r="K44" s="122"/>
      <c r="L44" s="122"/>
    </row>
    <row r="45" spans="1:12" s="87" customFormat="1" x14ac:dyDescent="0.2">
      <c r="A45" s="101"/>
      <c r="B45" s="101"/>
      <c r="C45" s="101"/>
      <c r="D45" s="101"/>
      <c r="E45" s="101"/>
      <c r="F45" s="101"/>
      <c r="G45" s="101"/>
      <c r="H45" s="101"/>
      <c r="I45" s="101"/>
      <c r="J45" s="122"/>
      <c r="K45" s="122"/>
      <c r="L45" s="122"/>
    </row>
    <row r="46" spans="1:12" s="87" customFormat="1" hidden="1" x14ac:dyDescent="0.2">
      <c r="A46" s="29"/>
      <c r="B46" s="29"/>
      <c r="C46" s="29"/>
      <c r="D46" s="29"/>
      <c r="E46" s="29"/>
      <c r="F46" s="29"/>
      <c r="G46" s="29"/>
      <c r="H46" s="29"/>
      <c r="I46" s="29"/>
      <c r="J46" s="122"/>
      <c r="K46" s="122"/>
      <c r="L46" s="122"/>
    </row>
    <row r="47" spans="1:12" s="87" customFormat="1" hidden="1" x14ac:dyDescent="0.2">
      <c r="A47" s="103" t="s">
        <v>62</v>
      </c>
      <c r="B47" s="103"/>
      <c r="C47" s="103"/>
      <c r="D47" s="103"/>
      <c r="E47" s="102" t="s">
        <v>65</v>
      </c>
      <c r="F47" s="102"/>
      <c r="G47" s="102"/>
      <c r="H47" s="102"/>
      <c r="I47" s="102"/>
      <c r="J47" s="122"/>
      <c r="K47" s="122"/>
      <c r="L47" s="122"/>
    </row>
    <row r="48" spans="1:12" s="87" customFormat="1" ht="14.25" customHeight="1" x14ac:dyDescent="0.2">
      <c r="A48" s="16"/>
      <c r="B48" s="16"/>
      <c r="C48" s="16"/>
      <c r="D48" s="16"/>
      <c r="E48" s="16"/>
      <c r="F48" s="16"/>
      <c r="G48" s="16"/>
      <c r="H48" s="16"/>
      <c r="I48" s="16"/>
      <c r="J48" s="122"/>
      <c r="K48" s="122"/>
      <c r="L48" s="122"/>
    </row>
    <row r="49" spans="1:12" s="87" customFormat="1" ht="14.25" customHeight="1" x14ac:dyDescent="0.2">
      <c r="A49" s="16"/>
      <c r="B49" s="16"/>
      <c r="C49" s="16"/>
      <c r="D49" s="16"/>
      <c r="E49" s="16"/>
      <c r="F49" s="16"/>
      <c r="G49" s="16"/>
      <c r="H49" s="16"/>
      <c r="I49" s="16"/>
      <c r="J49" s="122"/>
      <c r="K49" s="122"/>
      <c r="L49" s="122"/>
    </row>
    <row r="50" spans="1:12" s="87" customFormat="1" ht="14.25" customHeight="1" x14ac:dyDescent="0.2">
      <c r="A50" s="16"/>
      <c r="B50" s="16"/>
      <c r="C50" s="16"/>
      <c r="D50" s="16"/>
      <c r="E50" s="16"/>
      <c r="F50" s="16"/>
      <c r="G50" s="16"/>
      <c r="H50" s="16"/>
      <c r="I50" s="16"/>
      <c r="J50" s="122"/>
      <c r="K50" s="122"/>
      <c r="L50" s="122"/>
    </row>
    <row r="51" spans="1:12" s="87" customFormat="1" ht="15" customHeight="1" x14ac:dyDescent="0.25">
      <c r="A51" s="100" t="s">
        <v>68</v>
      </c>
      <c r="B51" s="100"/>
      <c r="C51" s="100"/>
      <c r="D51" s="100"/>
      <c r="E51" s="100"/>
      <c r="F51" s="100"/>
      <c r="G51" s="100"/>
      <c r="H51" s="100"/>
      <c r="I51" s="100"/>
      <c r="J51" s="122"/>
      <c r="K51" s="122"/>
      <c r="L51" s="122"/>
    </row>
    <row r="52" spans="1:12" s="87" customFormat="1" ht="15" customHeight="1" x14ac:dyDescent="0.2">
      <c r="A52" s="104" t="s">
        <v>95</v>
      </c>
      <c r="B52" s="105"/>
      <c r="C52" s="105"/>
      <c r="D52" s="36"/>
      <c r="E52" s="36"/>
      <c r="F52" s="36"/>
      <c r="G52" s="36"/>
      <c r="H52" s="36"/>
      <c r="I52" s="37"/>
      <c r="J52" s="122"/>
      <c r="K52" s="122"/>
      <c r="L52" s="122"/>
    </row>
    <row r="53" spans="1:12" s="87" customFormat="1" ht="14.25" customHeight="1" x14ac:dyDescent="0.2">
      <c r="A53" s="105"/>
      <c r="B53" s="105"/>
      <c r="C53" s="105"/>
      <c r="D53" s="38"/>
      <c r="E53" s="38"/>
      <c r="F53" s="38"/>
      <c r="G53" s="38"/>
      <c r="H53" s="38"/>
      <c r="I53" s="39"/>
      <c r="J53" s="122"/>
      <c r="K53" s="122"/>
      <c r="L53" s="122"/>
    </row>
    <row r="54" spans="1:12" s="87" customFormat="1" x14ac:dyDescent="0.2">
      <c r="A54" s="105"/>
      <c r="B54" s="105"/>
      <c r="C54" s="105"/>
      <c r="D54" s="43"/>
      <c r="E54" s="34"/>
      <c r="F54" s="34"/>
      <c r="G54" s="34"/>
      <c r="H54" s="34"/>
      <c r="I54" s="35"/>
      <c r="J54" s="122"/>
      <c r="K54" s="122"/>
      <c r="L54" s="122"/>
    </row>
    <row r="55" spans="1:12" s="87" customFormat="1" ht="15" hidden="1" customHeight="1" x14ac:dyDescent="0.25">
      <c r="A55" s="105"/>
      <c r="B55" s="105"/>
      <c r="C55" s="105"/>
      <c r="D55" s="108" t="s">
        <v>64</v>
      </c>
      <c r="E55" s="108"/>
      <c r="F55" s="108"/>
      <c r="G55" s="108"/>
      <c r="H55" s="106">
        <f>Pricing!D34-Pricing!D33</f>
        <v>0</v>
      </c>
      <c r="I55" s="106"/>
      <c r="J55" s="122"/>
      <c r="K55" s="122"/>
      <c r="L55" s="122"/>
    </row>
    <row r="56" spans="1:12" s="87" customFormat="1" ht="15" hidden="1" customHeight="1" x14ac:dyDescent="0.25">
      <c r="A56" s="105"/>
      <c r="B56" s="105"/>
      <c r="C56" s="105"/>
      <c r="D56" s="108" t="s">
        <v>33</v>
      </c>
      <c r="E56" s="108"/>
      <c r="F56" s="108"/>
      <c r="G56" s="108"/>
      <c r="H56" s="106">
        <f>Pricing!D33</f>
        <v>0</v>
      </c>
      <c r="I56" s="106"/>
      <c r="J56" s="122"/>
      <c r="K56" s="122"/>
      <c r="L56" s="122"/>
    </row>
    <row r="57" spans="1:12" s="87" customFormat="1" ht="15" hidden="1" customHeight="1" x14ac:dyDescent="0.25">
      <c r="A57" s="105"/>
      <c r="B57" s="105"/>
      <c r="C57" s="105"/>
      <c r="D57" s="109" t="s">
        <v>69</v>
      </c>
      <c r="E57" s="109"/>
      <c r="F57" s="64" t="str">
        <f>Pricing!B35</f>
        <v>PA</v>
      </c>
      <c r="G57" s="49">
        <f>Pricing!C35</f>
        <v>0.06</v>
      </c>
      <c r="H57" s="106">
        <f>Pricing!D35</f>
        <v>0</v>
      </c>
      <c r="I57" s="106"/>
      <c r="J57" s="122"/>
      <c r="K57" s="122"/>
      <c r="L57" s="122"/>
    </row>
    <row r="58" spans="1:12" s="87" customFormat="1" ht="15" customHeight="1" x14ac:dyDescent="0.25">
      <c r="A58" s="105"/>
      <c r="B58" s="105"/>
      <c r="C58" s="105"/>
      <c r="D58" s="108" t="s">
        <v>63</v>
      </c>
      <c r="E58" s="108"/>
      <c r="F58" s="108"/>
      <c r="G58" s="108"/>
      <c r="H58" s="107">
        <f>Pricing!D36</f>
        <v>0</v>
      </c>
      <c r="I58" s="107"/>
      <c r="J58" s="122"/>
      <c r="K58" s="122"/>
      <c r="L58" s="122"/>
    </row>
    <row r="59" spans="1:12" hidden="1" x14ac:dyDescent="0.2">
      <c r="A59" s="86"/>
      <c r="B59" s="86"/>
      <c r="C59" s="86"/>
      <c r="D59" s="86"/>
      <c r="E59" s="86"/>
      <c r="F59" s="86"/>
      <c r="G59" s="86"/>
      <c r="H59" s="86"/>
      <c r="I59" s="86"/>
    </row>
    <row r="60" spans="1:12" hidden="1" x14ac:dyDescent="0.2"/>
  </sheetData>
  <sheetProtection sheet="1" objects="1" scenarios="1" formatCells="0" formatColumns="0" formatRows="0" selectLockedCells="1"/>
  <mergeCells count="44">
    <mergeCell ref="B28:I28"/>
    <mergeCell ref="B25:I27"/>
    <mergeCell ref="J1:L58"/>
    <mergeCell ref="B32:I32"/>
    <mergeCell ref="D14:G14"/>
    <mergeCell ref="B22:I22"/>
    <mergeCell ref="B31:I31"/>
    <mergeCell ref="B9:D9"/>
    <mergeCell ref="B8:D8"/>
    <mergeCell ref="H55:I55"/>
    <mergeCell ref="H56:I56"/>
    <mergeCell ref="A16:I19"/>
    <mergeCell ref="A20:I20"/>
    <mergeCell ref="D55:G55"/>
    <mergeCell ref="A6:A9"/>
    <mergeCell ref="A12:B12"/>
    <mergeCell ref="E12:F12"/>
    <mergeCell ref="H1:I1"/>
    <mergeCell ref="B6:D6"/>
    <mergeCell ref="F6:F9"/>
    <mergeCell ref="G6:I6"/>
    <mergeCell ref="G7:I7"/>
    <mergeCell ref="G8:I8"/>
    <mergeCell ref="G9:I9"/>
    <mergeCell ref="G10:I10"/>
    <mergeCell ref="C12:D12"/>
    <mergeCell ref="G12:I12"/>
    <mergeCell ref="B10:D10"/>
    <mergeCell ref="B7:D7"/>
    <mergeCell ref="A5:F5"/>
    <mergeCell ref="A52:C58"/>
    <mergeCell ref="H57:I57"/>
    <mergeCell ref="H58:I58"/>
    <mergeCell ref="D56:G56"/>
    <mergeCell ref="D58:G58"/>
    <mergeCell ref="D57:E57"/>
    <mergeCell ref="B33:I33"/>
    <mergeCell ref="B34:I34"/>
    <mergeCell ref="B35:I35"/>
    <mergeCell ref="B36:I36"/>
    <mergeCell ref="A51:I51"/>
    <mergeCell ref="A38:I45"/>
    <mergeCell ref="E47:I47"/>
    <mergeCell ref="A47:D47"/>
  </mergeCells>
  <conditionalFormatting sqref="A52:C58">
    <cfRule type="expression" dxfId="19" priority="1">
      <formula>IF($H$1="PURCHASE ORDER",$H$58&gt;200000,$H$58&gt;500000)</formula>
    </cfRule>
  </conditionalFormatting>
  <dataValidations count="1">
    <dataValidation operator="equal" allowBlank="1" showInputMessage="1" showErrorMessage="1" sqref="I2:I3" xr:uid="{00000000-0002-0000-0000-000000000000}"/>
  </dataValidations>
  <printOptions horizontalCentered="1" verticalCentered="1"/>
  <pageMargins left="0.7" right="0.7" top="0.25" bottom="0.25" header="0.3" footer="0.3"/>
  <pageSetup orientation="portrait" r:id="rId1"/>
  <drawing r:id="rId2"/>
  <legacyDrawing r:id="rId3"/>
  <controls>
    <mc:AlternateContent xmlns:mc="http://schemas.openxmlformats.org/markup-compatibility/2006">
      <mc:Choice Requires="x14">
        <control shapeId="1067" r:id="rId4" name="CheckBox2">
          <controlPr defaultSize="0" autoLine="0" r:id="rId5">
            <anchor moveWithCells="1">
              <from>
                <xdr:col>0</xdr:col>
                <xdr:colOff>142875</xdr:colOff>
                <xdr:row>26</xdr:row>
                <xdr:rowOff>171450</xdr:rowOff>
              </from>
              <to>
                <xdr:col>0</xdr:col>
                <xdr:colOff>333375</xdr:colOff>
                <xdr:row>28</xdr:row>
                <xdr:rowOff>47625</xdr:rowOff>
              </to>
            </anchor>
          </controlPr>
        </control>
      </mc:Choice>
      <mc:Fallback>
        <control shapeId="1067" r:id="rId4" name="CheckBox2"/>
      </mc:Fallback>
    </mc:AlternateContent>
    <mc:AlternateContent xmlns:mc="http://schemas.openxmlformats.org/markup-compatibility/2006">
      <mc:Choice Requires="x14">
        <control shapeId="1026" r:id="rId6" name="CheckBox1">
          <controlPr defaultSize="0" autoLine="0" r:id="rId7">
            <anchor moveWithCells="1">
              <from>
                <xdr:col>0</xdr:col>
                <xdr:colOff>152400</xdr:colOff>
                <xdr:row>25</xdr:row>
                <xdr:rowOff>19050</xdr:rowOff>
              </from>
              <to>
                <xdr:col>0</xdr:col>
                <xdr:colOff>352425</xdr:colOff>
                <xdr:row>25</xdr:row>
                <xdr:rowOff>171450</xdr:rowOff>
              </to>
            </anchor>
          </controlPr>
        </control>
      </mc:Choice>
      <mc:Fallback>
        <control shapeId="1026" r:id="rId6" name="CheckBox1"/>
      </mc:Fallback>
    </mc:AlternateContent>
    <mc:AlternateContent xmlns:mc="http://schemas.openxmlformats.org/markup-compatibility/2006">
      <mc:Choice Requires="x14">
        <control shapeId="1053" r:id="rId8" name="CheckBox5">
          <controlPr defaultSize="0" autoLine="0" r:id="rId9">
            <anchor moveWithCells="1">
              <from>
                <xdr:col>0</xdr:col>
                <xdr:colOff>152400</xdr:colOff>
                <xdr:row>21</xdr:row>
                <xdr:rowOff>38100</xdr:rowOff>
              </from>
              <to>
                <xdr:col>0</xdr:col>
                <xdr:colOff>352425</xdr:colOff>
                <xdr:row>22</xdr:row>
                <xdr:rowOff>19050</xdr:rowOff>
              </to>
            </anchor>
          </controlPr>
        </control>
      </mc:Choice>
      <mc:Fallback>
        <control shapeId="1053" r:id="rId8" name="CheckBox5"/>
      </mc:Fallback>
    </mc:AlternateContent>
    <mc:AlternateContent xmlns:mc="http://schemas.openxmlformats.org/markup-compatibility/2006">
      <mc:Choice Requires="x14">
        <control shapeId="1054" r:id="rId10" name="CheckBox6">
          <controlPr defaultSize="0" autoLine="0" r:id="rId11">
            <anchor moveWithCells="1">
              <from>
                <xdr:col>0</xdr:col>
                <xdr:colOff>161925</xdr:colOff>
                <xdr:row>30</xdr:row>
                <xdr:rowOff>19050</xdr:rowOff>
              </from>
              <to>
                <xdr:col>0</xdr:col>
                <xdr:colOff>361950</xdr:colOff>
                <xdr:row>31</xdr:row>
                <xdr:rowOff>0</xdr:rowOff>
              </to>
            </anchor>
          </controlPr>
        </control>
      </mc:Choice>
      <mc:Fallback>
        <control shapeId="1054" r:id="rId10" name="CheckBox6"/>
      </mc:Fallback>
    </mc:AlternateContent>
    <mc:AlternateContent xmlns:mc="http://schemas.openxmlformats.org/markup-compatibility/2006">
      <mc:Choice Requires="x14">
        <control shapeId="1055" r:id="rId12" name="CheckBox7">
          <controlPr defaultSize="0" autoLine="0" r:id="rId11">
            <anchor moveWithCells="1">
              <from>
                <xdr:col>0</xdr:col>
                <xdr:colOff>161925</xdr:colOff>
                <xdr:row>31</xdr:row>
                <xdr:rowOff>19050</xdr:rowOff>
              </from>
              <to>
                <xdr:col>0</xdr:col>
                <xdr:colOff>361950</xdr:colOff>
                <xdr:row>32</xdr:row>
                <xdr:rowOff>0</xdr:rowOff>
              </to>
            </anchor>
          </controlPr>
        </control>
      </mc:Choice>
      <mc:Fallback>
        <control shapeId="1055" r:id="rId12" name="CheckBox7"/>
      </mc:Fallback>
    </mc:AlternateContent>
    <mc:AlternateContent xmlns:mc="http://schemas.openxmlformats.org/markup-compatibility/2006">
      <mc:Choice Requires="x14">
        <control shapeId="1056" r:id="rId13" name="CheckBox8">
          <controlPr defaultSize="0" autoLine="0" r:id="rId11">
            <anchor moveWithCells="1">
              <from>
                <xdr:col>0</xdr:col>
                <xdr:colOff>161925</xdr:colOff>
                <xdr:row>33</xdr:row>
                <xdr:rowOff>19050</xdr:rowOff>
              </from>
              <to>
                <xdr:col>0</xdr:col>
                <xdr:colOff>361950</xdr:colOff>
                <xdr:row>34</xdr:row>
                <xdr:rowOff>0</xdr:rowOff>
              </to>
            </anchor>
          </controlPr>
        </control>
      </mc:Choice>
      <mc:Fallback>
        <control shapeId="1056" r:id="rId13" name="CheckBox8"/>
      </mc:Fallback>
    </mc:AlternateContent>
    <mc:AlternateContent xmlns:mc="http://schemas.openxmlformats.org/markup-compatibility/2006">
      <mc:Choice Requires="x14">
        <control shapeId="1057" r:id="rId14" name="CheckBox9">
          <controlPr defaultSize="0" autoLine="0" r:id="rId11">
            <anchor moveWithCells="1">
              <from>
                <xdr:col>0</xdr:col>
                <xdr:colOff>161925</xdr:colOff>
                <xdr:row>32</xdr:row>
                <xdr:rowOff>19050</xdr:rowOff>
              </from>
              <to>
                <xdr:col>0</xdr:col>
                <xdr:colOff>361950</xdr:colOff>
                <xdr:row>33</xdr:row>
                <xdr:rowOff>0</xdr:rowOff>
              </to>
            </anchor>
          </controlPr>
        </control>
      </mc:Choice>
      <mc:Fallback>
        <control shapeId="1057" r:id="rId14" name="CheckBox9"/>
      </mc:Fallback>
    </mc:AlternateContent>
    <mc:AlternateContent xmlns:mc="http://schemas.openxmlformats.org/markup-compatibility/2006">
      <mc:Choice Requires="x14">
        <control shapeId="1058" r:id="rId15" name="CheckBox10">
          <controlPr defaultSize="0" autoLine="0" r:id="rId11">
            <anchor moveWithCells="1">
              <from>
                <xdr:col>0</xdr:col>
                <xdr:colOff>161925</xdr:colOff>
                <xdr:row>34</xdr:row>
                <xdr:rowOff>19050</xdr:rowOff>
              </from>
              <to>
                <xdr:col>0</xdr:col>
                <xdr:colOff>361950</xdr:colOff>
                <xdr:row>35</xdr:row>
                <xdr:rowOff>0</xdr:rowOff>
              </to>
            </anchor>
          </controlPr>
        </control>
      </mc:Choice>
      <mc:Fallback>
        <control shapeId="1058" r:id="rId15" name="CheckBox10"/>
      </mc:Fallback>
    </mc:AlternateContent>
    <mc:AlternateContent xmlns:mc="http://schemas.openxmlformats.org/markup-compatibility/2006">
      <mc:Choice Requires="x14">
        <control shapeId="1059" r:id="rId16" name="CheckBox11">
          <controlPr defaultSize="0" autoLine="0" r:id="rId11">
            <anchor moveWithCells="1">
              <from>
                <xdr:col>0</xdr:col>
                <xdr:colOff>161925</xdr:colOff>
                <xdr:row>35</xdr:row>
                <xdr:rowOff>19050</xdr:rowOff>
              </from>
              <to>
                <xdr:col>0</xdr:col>
                <xdr:colOff>361950</xdr:colOff>
                <xdr:row>36</xdr:row>
                <xdr:rowOff>0</xdr:rowOff>
              </to>
            </anchor>
          </controlPr>
        </control>
      </mc:Choice>
      <mc:Fallback>
        <control shapeId="1059" r:id="rId16" name="CheckBox11"/>
      </mc:Fallback>
    </mc:AlternateContent>
    <mc:AlternateContent xmlns:mc="http://schemas.openxmlformats.org/markup-compatibility/2006">
      <mc:Choice Requires="x14">
        <control shapeId="1061" r:id="rId17" name="CommandButton1">
          <controlPr autoLine="0" r:id="rId18">
            <anchor moveWithCells="1">
              <from>
                <xdr:col>9</xdr:col>
                <xdr:colOff>38100</xdr:colOff>
                <xdr:row>0</xdr:row>
                <xdr:rowOff>38100</xdr:rowOff>
              </from>
              <to>
                <xdr:col>11</xdr:col>
                <xdr:colOff>504825</xdr:colOff>
                <xdr:row>2</xdr:row>
                <xdr:rowOff>57150</xdr:rowOff>
              </to>
            </anchor>
          </controlPr>
        </control>
      </mc:Choice>
      <mc:Fallback>
        <control shapeId="1061" r:id="rId17" name="CommandButton1"/>
      </mc:Fallback>
    </mc:AlternateContent>
    <mc:AlternateContent xmlns:mc="http://schemas.openxmlformats.org/markup-compatibility/2006">
      <mc:Choice Requires="x14">
        <control shapeId="1063" r:id="rId19" name="Check Box 39">
          <controlPr defaultSize="0" autoFill="0" autoLine="0" autoPict="0">
            <anchor moveWithCells="1">
              <from>
                <xdr:col>6</xdr:col>
                <xdr:colOff>19050</xdr:colOff>
                <xdr:row>3</xdr:row>
                <xdr:rowOff>152400</xdr:rowOff>
              </from>
              <to>
                <xdr:col>6</xdr:col>
                <xdr:colOff>247650</xdr:colOff>
                <xdr:row>4</xdr:row>
                <xdr:rowOff>142875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2000000}">
          <x14:formula1>
            <xm:f>AutoFill!$A$2:$A$3</xm:f>
          </x14:formula1>
          <xm:sqref>H1</xm:sqref>
        </x14:dataValidation>
        <x14:dataValidation type="list" allowBlank="1" showInputMessage="1" xr:uid="{00000000-0002-0000-0000-000003000000}">
          <x14:formula1>
            <xm:f>AutoFill!$D$6:$D$9</xm:f>
          </x14:formula1>
          <xm:sqref>G7:I7</xm:sqref>
        </x14:dataValidation>
        <x14:dataValidation type="list" allowBlank="1" showInputMessage="1" xr:uid="{00000000-0002-0000-0000-000004000000}">
          <x14:formula1>
            <xm:f>AutoFill!$B$13:$B$17</xm:f>
          </x14:formula1>
          <xm:sqref>C12:D12</xm:sqref>
        </x14:dataValidation>
        <x14:dataValidation type="list" allowBlank="1" showInputMessage="1" showErrorMessage="1" xr:uid="{00000000-0002-0000-0000-000005000000}">
          <x14:formula1>
            <xm:f>AutoFill!$C$13:$C$19</xm:f>
          </x14:formula1>
          <xm:sqref>G12:I12</xm:sqref>
        </x14:dataValidation>
        <x14:dataValidation type="list" operator="equal" allowBlank="1" showInputMessage="1" showErrorMessage="1" xr:uid="{00000000-0002-0000-0000-000006000000}">
          <x14:formula1>
            <xm:f>IF($H$1="PURCHASE ORDER", AutoFill!$A$14:$A$16, AutoFill!$A$13:$A$14)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I49"/>
  <sheetViews>
    <sheetView zoomScaleNormal="100" zoomScaleSheetLayoutView="90" zoomScalePageLayoutView="70" workbookViewId="0">
      <selection activeCell="I21" sqref="I21"/>
    </sheetView>
  </sheetViews>
  <sheetFormatPr defaultColWidth="0" defaultRowHeight="14.25" zeroHeight="1" x14ac:dyDescent="0.2"/>
  <cols>
    <col min="1" max="3" width="9.140625" style="1" customWidth="1"/>
    <col min="4" max="4" width="12.85546875" style="1" customWidth="1"/>
    <col min="5" max="5" width="7.28515625" style="1" customWidth="1"/>
    <col min="6" max="8" width="9.140625" style="1" customWidth="1"/>
    <col min="9" max="9" width="14.5703125" style="1" customWidth="1"/>
    <col min="10" max="16384" width="9.140625" style="1" hidden="1"/>
  </cols>
  <sheetData>
    <row r="1" spans="1:9" x14ac:dyDescent="0.2"/>
    <row r="2" spans="1:9" x14ac:dyDescent="0.2"/>
    <row r="3" spans="1:9" x14ac:dyDescent="0.2"/>
    <row r="4" spans="1:9" x14ac:dyDescent="0.2"/>
    <row r="5" spans="1:9" ht="15" customHeight="1" x14ac:dyDescent="0.2">
      <c r="A5" s="125" t="s">
        <v>183</v>
      </c>
      <c r="B5" s="125"/>
      <c r="C5" s="125"/>
      <c r="D5" s="125"/>
      <c r="E5" s="125"/>
      <c r="F5" s="125"/>
      <c r="G5" s="125"/>
      <c r="H5" s="125"/>
      <c r="I5" s="125"/>
    </row>
    <row r="6" spans="1:9" x14ac:dyDescent="0.2">
      <c r="A6" s="125"/>
      <c r="B6" s="125"/>
      <c r="C6" s="125"/>
      <c r="D6" s="125"/>
      <c r="E6" s="125"/>
      <c r="F6" s="125"/>
      <c r="G6" s="125"/>
      <c r="H6" s="125"/>
      <c r="I6" s="125"/>
    </row>
    <row r="7" spans="1:9" x14ac:dyDescent="0.2">
      <c r="A7" s="125"/>
      <c r="B7" s="125"/>
      <c r="C7" s="125"/>
      <c r="D7" s="125"/>
      <c r="E7" s="125"/>
      <c r="F7" s="125"/>
      <c r="G7" s="125"/>
      <c r="H7" s="125"/>
      <c r="I7" s="125"/>
    </row>
    <row r="8" spans="1:9" x14ac:dyDescent="0.2">
      <c r="A8" s="125"/>
      <c r="B8" s="125"/>
      <c r="C8" s="125"/>
      <c r="D8" s="125"/>
      <c r="E8" s="125"/>
      <c r="F8" s="125"/>
      <c r="G8" s="125"/>
      <c r="H8" s="125"/>
      <c r="I8" s="125"/>
    </row>
    <row r="9" spans="1:9" x14ac:dyDescent="0.2">
      <c r="A9" s="125"/>
      <c r="B9" s="125"/>
      <c r="C9" s="125"/>
      <c r="D9" s="125"/>
      <c r="E9" s="125"/>
      <c r="F9" s="125"/>
      <c r="G9" s="125"/>
      <c r="H9" s="125"/>
      <c r="I9" s="125"/>
    </row>
    <row r="10" spans="1:9" ht="15" customHeight="1" x14ac:dyDescent="0.2">
      <c r="A10" s="125"/>
      <c r="B10" s="125"/>
      <c r="C10" s="125"/>
      <c r="D10" s="125"/>
      <c r="E10" s="125"/>
      <c r="F10" s="125"/>
      <c r="G10" s="125"/>
      <c r="H10" s="125"/>
      <c r="I10" s="125"/>
    </row>
    <row r="11" spans="1:9" x14ac:dyDescent="0.2">
      <c r="A11" s="125"/>
      <c r="B11" s="125"/>
      <c r="C11" s="125"/>
      <c r="D11" s="125"/>
      <c r="E11" s="125"/>
      <c r="F11" s="125"/>
      <c r="G11" s="125"/>
      <c r="H11" s="125"/>
      <c r="I11" s="125"/>
    </row>
    <row r="12" spans="1:9" x14ac:dyDescent="0.2">
      <c r="A12" s="8"/>
      <c r="B12" s="8"/>
      <c r="C12" s="8"/>
      <c r="D12" s="8"/>
      <c r="E12" s="8"/>
      <c r="F12" s="8"/>
      <c r="G12" s="8"/>
      <c r="H12" s="8"/>
      <c r="I12" s="8"/>
    </row>
    <row r="13" spans="1:9" x14ac:dyDescent="0.2"/>
    <row r="14" spans="1:9" x14ac:dyDescent="0.2">
      <c r="A14" s="126" t="str">
        <f>'PO Cover'!$B$6</f>
        <v>&lt;Enter Company Name&gt;</v>
      </c>
      <c r="B14" s="126"/>
      <c r="C14" s="126"/>
      <c r="D14" s="126"/>
      <c r="F14" s="126" t="s">
        <v>200</v>
      </c>
      <c r="G14" s="126"/>
      <c r="H14" s="126"/>
      <c r="I14" s="126"/>
    </row>
    <row r="15" spans="1:9" x14ac:dyDescent="0.2">
      <c r="A15" s="1" t="s">
        <v>180</v>
      </c>
      <c r="B15" s="127"/>
      <c r="C15" s="127"/>
      <c r="D15" s="127"/>
      <c r="F15" s="1" t="s">
        <v>180</v>
      </c>
      <c r="G15" s="127"/>
      <c r="H15" s="127"/>
      <c r="I15" s="127"/>
    </row>
    <row r="16" spans="1:9" x14ac:dyDescent="0.2">
      <c r="A16" s="1" t="s">
        <v>181</v>
      </c>
      <c r="B16" s="128"/>
      <c r="C16" s="128"/>
      <c r="D16" s="128"/>
      <c r="F16" s="1" t="s">
        <v>181</v>
      </c>
      <c r="G16" s="128"/>
      <c r="H16" s="128"/>
      <c r="I16" s="128"/>
    </row>
    <row r="17" spans="1:9" x14ac:dyDescent="0.2">
      <c r="A17" s="1" t="s">
        <v>164</v>
      </c>
      <c r="B17" s="128"/>
      <c r="C17" s="128"/>
      <c r="D17" s="128"/>
      <c r="F17" s="1" t="s">
        <v>164</v>
      </c>
      <c r="G17" s="128"/>
      <c r="H17" s="128"/>
      <c r="I17" s="128"/>
    </row>
    <row r="18" spans="1:9" x14ac:dyDescent="0.2"/>
    <row r="19" spans="1:9" x14ac:dyDescent="0.2">
      <c r="A19" s="1" t="s">
        <v>182</v>
      </c>
      <c r="F19" s="1" t="s">
        <v>182</v>
      </c>
    </row>
    <row r="20" spans="1:9" x14ac:dyDescent="0.2"/>
    <row r="21" spans="1:9" x14ac:dyDescent="0.2"/>
    <row r="22" spans="1:9" x14ac:dyDescent="0.2"/>
    <row r="23" spans="1:9" x14ac:dyDescent="0.2">
      <c r="A23" s="127"/>
      <c r="B23" s="127"/>
      <c r="C23" s="127"/>
      <c r="D23" s="127"/>
      <c r="F23" s="127"/>
      <c r="G23" s="127"/>
      <c r="H23" s="127"/>
      <c r="I23" s="127"/>
    </row>
    <row r="24" spans="1:9" x14ac:dyDescent="0.2"/>
    <row r="25" spans="1:9" x14ac:dyDescent="0.2"/>
    <row r="26" spans="1:9" x14ac:dyDescent="0.2"/>
    <row r="27" spans="1:9" x14ac:dyDescent="0.2"/>
    <row r="28" spans="1:9" x14ac:dyDescent="0.2"/>
    <row r="29" spans="1:9" x14ac:dyDescent="0.2"/>
    <row r="30" spans="1:9" x14ac:dyDescent="0.2"/>
    <row r="31" spans="1:9" x14ac:dyDescent="0.2"/>
    <row r="32" spans="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sheetData>
  <mergeCells count="11">
    <mergeCell ref="A5:I11"/>
    <mergeCell ref="A14:D14"/>
    <mergeCell ref="F14:I14"/>
    <mergeCell ref="F23:I23"/>
    <mergeCell ref="A23:D23"/>
    <mergeCell ref="B15:D15"/>
    <mergeCell ref="B16:D16"/>
    <mergeCell ref="B17:D17"/>
    <mergeCell ref="G15:I15"/>
    <mergeCell ref="G16:I16"/>
    <mergeCell ref="G17:I17"/>
  </mergeCells>
  <pageMargins left="0.7" right="0.7" top="0.75" bottom="0.75" header="0.3" footer="0.3"/>
  <pageSetup orientation="portrait" r:id="rId1"/>
  <headerFooter>
    <oddFooter>&amp;CPage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47"/>
  <sheetViews>
    <sheetView showGridLines="0" view="pageBreakPreview" zoomScale="60" zoomScaleNormal="70" zoomScalePageLayoutView="55" workbookViewId="0">
      <selection activeCell="D10" sqref="D10"/>
    </sheetView>
  </sheetViews>
  <sheetFormatPr defaultColWidth="0" defaultRowHeight="15" zeroHeight="1" x14ac:dyDescent="0.25"/>
  <cols>
    <col min="1" max="11" width="9.140625" customWidth="1"/>
    <col min="12" max="16384" width="9.140625" hidden="1"/>
  </cols>
  <sheetData>
    <row r="1" spans="1:1" x14ac:dyDescent="0.25">
      <c r="A1" t="s">
        <v>199</v>
      </c>
    </row>
    <row r="2" spans="1:1" x14ac:dyDescent="0.25"/>
    <row r="3" spans="1:1" x14ac:dyDescent="0.25"/>
    <row r="4" spans="1:1" x14ac:dyDescent="0.25"/>
    <row r="5" spans="1:1" x14ac:dyDescent="0.25"/>
    <row r="6" spans="1:1" x14ac:dyDescent="0.25"/>
    <row r="7" spans="1:1" x14ac:dyDescent="0.25"/>
    <row r="8" spans="1:1" x14ac:dyDescent="0.25"/>
    <row r="9" spans="1:1" x14ac:dyDescent="0.25"/>
    <row r="10" spans="1:1" x14ac:dyDescent="0.25"/>
    <row r="11" spans="1:1" x14ac:dyDescent="0.25"/>
    <row r="12" spans="1:1" x14ac:dyDescent="0.25"/>
    <row r="13" spans="1:1" x14ac:dyDescent="0.25"/>
    <row r="14" spans="1:1" x14ac:dyDescent="0.25"/>
    <row r="15" spans="1:1" x14ac:dyDescent="0.25"/>
    <row r="16" spans="1:1"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sheetData>
  <sheetProtection sheet="1" objects="1" scenarios="1" selectLockedCells="1" selectUnlockedCells="1"/>
  <pageMargins left="0.25" right="0.25" top="0.75" bottom="0.75" header="0.3" footer="0.3"/>
  <pageSetup orientation="portrait" r:id="rId1"/>
  <headerFooter>
    <oddFooter>&amp;CPage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XFC42"/>
  <sheetViews>
    <sheetView showGridLines="0" zoomScale="85" zoomScaleNormal="85" zoomScaleSheetLayoutView="85" zoomScalePageLayoutView="40" workbookViewId="0">
      <selection activeCell="I23" sqref="I23"/>
    </sheetView>
  </sheetViews>
  <sheetFormatPr defaultColWidth="0" defaultRowHeight="15" zeroHeight="1" x14ac:dyDescent="0.25"/>
  <cols>
    <col min="1" max="3" width="9.140625" customWidth="1"/>
    <col min="4" max="4" width="12.7109375" customWidth="1"/>
    <col min="5" max="8" width="9.140625" customWidth="1"/>
    <col min="9" max="9" width="13.28515625" customWidth="1"/>
    <col min="10" max="10" width="0.28515625" customWidth="1"/>
    <col min="11" max="16383" width="2.85546875" hidden="1"/>
    <col min="16384" max="16384" width="2.5703125" hidden="1"/>
  </cols>
  <sheetData>
    <row r="1" spans="1:9" ht="20.25" x14ac:dyDescent="0.3">
      <c r="A1" s="130" t="s">
        <v>20</v>
      </c>
      <c r="B1" s="130"/>
      <c r="C1" s="130"/>
      <c r="D1" s="130"/>
      <c r="E1" s="130"/>
      <c r="F1" s="130"/>
      <c r="G1" s="130"/>
      <c r="H1" s="130"/>
      <c r="I1" s="130"/>
    </row>
    <row r="2" spans="1:9" x14ac:dyDescent="0.25">
      <c r="A2" s="1"/>
      <c r="B2" s="1"/>
      <c r="C2" s="1"/>
      <c r="D2" s="1"/>
      <c r="E2" s="1"/>
      <c r="F2" s="1"/>
      <c r="G2" s="1"/>
      <c r="H2" s="1"/>
      <c r="I2" s="1"/>
    </row>
    <row r="3" spans="1:9" x14ac:dyDescent="0.25">
      <c r="A3" s="131" t="s">
        <v>21</v>
      </c>
      <c r="B3" s="131"/>
      <c r="C3" s="131"/>
      <c r="D3" s="131"/>
      <c r="E3" s="132"/>
      <c r="F3" s="132"/>
      <c r="G3" s="132"/>
      <c r="H3" s="132"/>
      <c r="I3" s="132"/>
    </row>
    <row r="4" spans="1:9" x14ac:dyDescent="0.25">
      <c r="A4" s="131" t="s">
        <v>22</v>
      </c>
      <c r="B4" s="131"/>
      <c r="C4" s="131"/>
      <c r="D4" s="131"/>
      <c r="E4" s="132"/>
      <c r="F4" s="132"/>
      <c r="G4" s="132"/>
      <c r="H4" s="132"/>
      <c r="I4" s="132"/>
    </row>
    <row r="5" spans="1:9" x14ac:dyDescent="0.25">
      <c r="A5" s="131" t="s">
        <v>23</v>
      </c>
      <c r="B5" s="131"/>
      <c r="C5" s="131"/>
      <c r="D5" s="131"/>
      <c r="E5" s="132"/>
      <c r="F5" s="132"/>
      <c r="G5" s="132"/>
      <c r="H5" s="132"/>
      <c r="I5" s="132"/>
    </row>
    <row r="6" spans="1:9" x14ac:dyDescent="0.25">
      <c r="A6" s="1"/>
      <c r="B6" s="1"/>
      <c r="C6" s="1"/>
      <c r="D6" s="1"/>
      <c r="E6" s="1"/>
      <c r="F6" s="1"/>
      <c r="G6" s="1"/>
      <c r="H6" s="1"/>
      <c r="I6" s="1"/>
    </row>
    <row r="7" spans="1:9" ht="29.25" customHeight="1" x14ac:dyDescent="0.25">
      <c r="A7" s="129" t="s">
        <v>24</v>
      </c>
      <c r="B7" s="129"/>
      <c r="C7" s="129"/>
      <c r="D7" s="129"/>
      <c r="E7" s="129"/>
      <c r="F7" s="129"/>
      <c r="G7" s="129"/>
      <c r="H7" s="129"/>
      <c r="I7" s="129"/>
    </row>
    <row r="8" spans="1:9" x14ac:dyDescent="0.25">
      <c r="A8" s="21"/>
      <c r="B8" s="22"/>
      <c r="C8" s="22"/>
      <c r="D8" s="22"/>
      <c r="E8" s="22"/>
      <c r="F8" s="22"/>
      <c r="G8" s="22"/>
      <c r="H8" s="22"/>
      <c r="I8" s="22"/>
    </row>
    <row r="9" spans="1:9" ht="30" customHeight="1" x14ac:dyDescent="0.25">
      <c r="A9" s="129" t="s">
        <v>25</v>
      </c>
      <c r="B9" s="129"/>
      <c r="C9" s="129"/>
      <c r="D9" s="129"/>
      <c r="E9" s="129"/>
      <c r="F9" s="129"/>
      <c r="G9" s="129"/>
      <c r="H9" s="129"/>
      <c r="I9" s="129"/>
    </row>
    <row r="10" spans="1:9" x14ac:dyDescent="0.25">
      <c r="A10" s="21"/>
      <c r="B10" s="22"/>
      <c r="C10" s="22"/>
      <c r="D10" s="22"/>
      <c r="E10" s="22"/>
      <c r="F10" s="22"/>
      <c r="G10" s="22"/>
      <c r="H10" s="22"/>
      <c r="I10" s="22"/>
    </row>
    <row r="11" spans="1:9" ht="29.25" customHeight="1" x14ac:dyDescent="0.25">
      <c r="A11" s="129" t="s">
        <v>26</v>
      </c>
      <c r="B11" s="129"/>
      <c r="C11" s="129"/>
      <c r="D11" s="129"/>
      <c r="E11" s="129"/>
      <c r="F11" s="129"/>
      <c r="G11" s="129"/>
      <c r="H11" s="129"/>
      <c r="I11" s="129"/>
    </row>
    <row r="12" spans="1:9" x14ac:dyDescent="0.25">
      <c r="A12" s="21"/>
      <c r="B12" s="22"/>
      <c r="C12" s="22"/>
      <c r="D12" s="22"/>
      <c r="E12" s="22"/>
      <c r="F12" s="22"/>
      <c r="G12" s="22"/>
      <c r="H12" s="22"/>
      <c r="I12" s="22"/>
    </row>
    <row r="13" spans="1:9" ht="30.75" customHeight="1" x14ac:dyDescent="0.25">
      <c r="A13" s="129" t="s">
        <v>27</v>
      </c>
      <c r="B13" s="129"/>
      <c r="C13" s="129"/>
      <c r="D13" s="129"/>
      <c r="E13" s="129"/>
      <c r="F13" s="129"/>
      <c r="G13" s="129"/>
      <c r="H13" s="129"/>
      <c r="I13" s="129"/>
    </row>
    <row r="14" spans="1:9" x14ac:dyDescent="0.25">
      <c r="A14" s="21"/>
      <c r="B14" s="22"/>
      <c r="C14" s="22"/>
      <c r="D14" s="22"/>
      <c r="E14" s="22"/>
      <c r="F14" s="22"/>
      <c r="G14" s="22"/>
      <c r="H14" s="22"/>
      <c r="I14" s="22"/>
    </row>
    <row r="15" spans="1:9" ht="15" customHeight="1" x14ac:dyDescent="0.25">
      <c r="A15" s="129" t="s">
        <v>98</v>
      </c>
      <c r="B15" s="129"/>
      <c r="C15" s="129"/>
      <c r="D15" s="129"/>
      <c r="E15" s="129"/>
      <c r="F15" s="129"/>
      <c r="G15" s="129"/>
      <c r="H15" s="129"/>
      <c r="I15" s="129"/>
    </row>
    <row r="16" spans="1:9" x14ac:dyDescent="0.25">
      <c r="A16" s="129"/>
      <c r="B16" s="129"/>
      <c r="C16" s="129"/>
      <c r="D16" s="129"/>
      <c r="E16" s="129"/>
      <c r="F16" s="129"/>
      <c r="G16" s="129"/>
      <c r="H16" s="129"/>
      <c r="I16" s="129"/>
    </row>
    <row r="17" spans="1:9" x14ac:dyDescent="0.25">
      <c r="A17" s="129"/>
      <c r="B17" s="129"/>
      <c r="C17" s="129"/>
      <c r="D17" s="129"/>
      <c r="E17" s="129"/>
      <c r="F17" s="129"/>
      <c r="G17" s="129"/>
      <c r="H17" s="129"/>
      <c r="I17" s="129"/>
    </row>
    <row r="18" spans="1:9" x14ac:dyDescent="0.25">
      <c r="A18" s="23"/>
      <c r="B18" s="23"/>
      <c r="C18" s="23"/>
      <c r="D18" s="23"/>
      <c r="E18" s="23"/>
      <c r="F18" s="23"/>
      <c r="G18" s="23"/>
      <c r="H18" s="23"/>
      <c r="I18" s="23"/>
    </row>
    <row r="19" spans="1:9" x14ac:dyDescent="0.25">
      <c r="A19" s="23"/>
      <c r="B19" s="23"/>
      <c r="C19" s="23"/>
      <c r="D19" s="23"/>
      <c r="E19" s="23"/>
      <c r="F19" s="23"/>
      <c r="G19" s="23"/>
      <c r="H19" s="23"/>
      <c r="I19" s="23"/>
    </row>
    <row r="20" spans="1:9" x14ac:dyDescent="0.25">
      <c r="A20" s="23"/>
      <c r="B20" s="23"/>
      <c r="C20" s="23"/>
      <c r="D20" s="23"/>
      <c r="E20" s="23"/>
      <c r="F20" s="23"/>
      <c r="G20" s="23"/>
      <c r="H20" s="23"/>
      <c r="I20" s="23"/>
    </row>
    <row r="21" spans="1:9" x14ac:dyDescent="0.25">
      <c r="A21" s="23"/>
      <c r="B21" s="23"/>
      <c r="C21" s="23"/>
      <c r="D21" s="23"/>
      <c r="E21" s="23"/>
      <c r="F21" s="23"/>
      <c r="G21" s="23"/>
      <c r="H21" s="23"/>
      <c r="I21" s="23"/>
    </row>
    <row r="22" spans="1:9" x14ac:dyDescent="0.25">
      <c r="A22" s="23"/>
      <c r="B22" s="23"/>
      <c r="C22" s="23"/>
      <c r="D22" s="23"/>
      <c r="E22" s="23"/>
      <c r="F22" s="23"/>
      <c r="G22" s="23"/>
      <c r="H22" s="23"/>
      <c r="I22" s="23"/>
    </row>
    <row r="23" spans="1:9" x14ac:dyDescent="0.25">
      <c r="A23" s="23"/>
      <c r="B23" s="23"/>
      <c r="C23" s="23"/>
      <c r="D23" s="23"/>
      <c r="E23" s="23"/>
      <c r="F23" s="23"/>
      <c r="G23" s="23"/>
      <c r="H23" s="23"/>
      <c r="I23" s="23"/>
    </row>
    <row r="24" spans="1:9" x14ac:dyDescent="0.25">
      <c r="A24" s="23"/>
      <c r="B24" s="23"/>
      <c r="C24" s="23"/>
      <c r="D24" s="23"/>
      <c r="E24" s="23"/>
      <c r="F24" s="23"/>
      <c r="G24" s="23"/>
      <c r="H24" s="23"/>
      <c r="I24" s="23"/>
    </row>
    <row r="25" spans="1:9" x14ac:dyDescent="0.25">
      <c r="A25" s="23"/>
      <c r="B25" s="23"/>
      <c r="C25" s="23"/>
      <c r="D25" s="23"/>
      <c r="E25" s="23"/>
      <c r="F25" s="23"/>
      <c r="G25" s="23"/>
      <c r="H25" s="23"/>
      <c r="I25" s="23"/>
    </row>
    <row r="26" spans="1:9" x14ac:dyDescent="0.25">
      <c r="A26" s="23"/>
      <c r="B26" s="23"/>
      <c r="C26" s="23"/>
      <c r="D26" s="23"/>
      <c r="E26" s="23"/>
      <c r="F26" s="23"/>
      <c r="G26" s="23"/>
      <c r="H26" s="23"/>
      <c r="I26" s="23"/>
    </row>
    <row r="27" spans="1:9" x14ac:dyDescent="0.25">
      <c r="A27" s="23"/>
      <c r="B27" s="23"/>
      <c r="C27" s="23"/>
      <c r="D27" s="23"/>
      <c r="E27" s="23"/>
      <c r="F27" s="23"/>
      <c r="G27" s="23"/>
      <c r="H27" s="23"/>
      <c r="I27" s="23"/>
    </row>
    <row r="28" spans="1:9" x14ac:dyDescent="0.25">
      <c r="A28" s="23"/>
      <c r="B28" s="23"/>
      <c r="C28" s="23"/>
      <c r="D28" s="23"/>
      <c r="E28" s="23"/>
      <c r="F28" s="23"/>
      <c r="G28" s="23"/>
      <c r="H28" s="23"/>
      <c r="I28" s="23"/>
    </row>
    <row r="29" spans="1:9" x14ac:dyDescent="0.25">
      <c r="A29" s="23"/>
      <c r="B29" s="23"/>
      <c r="C29" s="23"/>
      <c r="D29" s="23"/>
      <c r="E29" s="23"/>
      <c r="F29" s="23"/>
      <c r="G29" s="23"/>
      <c r="H29" s="23"/>
      <c r="I29" s="23"/>
    </row>
    <row r="30" spans="1:9" x14ac:dyDescent="0.25">
      <c r="A30" s="23"/>
      <c r="B30" s="23"/>
      <c r="C30" s="23"/>
      <c r="D30" s="23"/>
      <c r="E30" s="23"/>
      <c r="F30" s="23"/>
      <c r="G30" s="23"/>
      <c r="H30" s="23"/>
      <c r="I30" s="23"/>
    </row>
    <row r="31" spans="1:9" x14ac:dyDescent="0.25">
      <c r="A31" s="23"/>
      <c r="B31" s="23"/>
      <c r="C31" s="23"/>
      <c r="D31" s="23"/>
      <c r="E31" s="23"/>
      <c r="F31" s="23"/>
      <c r="G31" s="23"/>
      <c r="H31" s="23"/>
      <c r="I31" s="23"/>
    </row>
    <row r="32" spans="1:9" x14ac:dyDescent="0.25">
      <c r="A32" s="23"/>
      <c r="B32" s="23"/>
      <c r="C32" s="23"/>
      <c r="D32" s="23"/>
      <c r="E32" s="23"/>
      <c r="F32" s="23"/>
      <c r="G32" s="23"/>
      <c r="H32" s="23"/>
      <c r="I32" s="23"/>
    </row>
    <row r="33" spans="1:9" x14ac:dyDescent="0.25">
      <c r="A33" s="23"/>
      <c r="B33" s="23"/>
      <c r="C33" s="23"/>
      <c r="D33" s="23"/>
      <c r="E33" s="23"/>
      <c r="F33" s="23"/>
      <c r="G33" s="23"/>
      <c r="H33" s="23"/>
      <c r="I33" s="23"/>
    </row>
    <row r="34" spans="1:9" x14ac:dyDescent="0.25">
      <c r="A34" s="23"/>
      <c r="B34" s="23"/>
      <c r="C34" s="23"/>
      <c r="D34" s="23"/>
      <c r="E34" s="23"/>
      <c r="F34" s="23"/>
      <c r="G34" s="23"/>
      <c r="H34" s="23"/>
      <c r="I34" s="23"/>
    </row>
    <row r="35" spans="1:9" x14ac:dyDescent="0.25">
      <c r="A35" s="23"/>
      <c r="B35" s="23"/>
      <c r="C35" s="23"/>
      <c r="D35" s="23"/>
      <c r="E35" s="23"/>
      <c r="F35" s="23"/>
      <c r="G35" s="23"/>
      <c r="H35" s="23"/>
      <c r="I35" s="23"/>
    </row>
    <row r="36" spans="1:9" x14ac:dyDescent="0.25">
      <c r="A36" s="23"/>
      <c r="B36" s="23"/>
      <c r="C36" s="23"/>
      <c r="D36" s="23"/>
      <c r="E36" s="23"/>
      <c r="F36" s="23"/>
      <c r="G36" s="23"/>
      <c r="H36" s="23"/>
      <c r="I36" s="23"/>
    </row>
    <row r="37" spans="1:9" x14ac:dyDescent="0.25">
      <c r="A37" s="23"/>
      <c r="B37" s="23"/>
      <c r="C37" s="23"/>
      <c r="D37" s="23"/>
      <c r="E37" s="23"/>
      <c r="F37" s="23"/>
      <c r="G37" s="23"/>
      <c r="H37" s="23"/>
      <c r="I37" s="23"/>
    </row>
    <row r="38" spans="1:9" x14ac:dyDescent="0.25">
      <c r="A38" s="23"/>
      <c r="B38" s="23"/>
      <c r="C38" s="23"/>
      <c r="D38" s="23"/>
      <c r="E38" s="23"/>
      <c r="F38" s="23"/>
      <c r="G38" s="23"/>
      <c r="H38" s="23"/>
      <c r="I38" s="23"/>
    </row>
    <row r="39" spans="1:9" x14ac:dyDescent="0.25">
      <c r="A39" s="23"/>
      <c r="B39" s="23"/>
      <c r="C39" s="23"/>
      <c r="D39" s="23"/>
      <c r="E39" s="23"/>
      <c r="F39" s="23"/>
      <c r="G39" s="23"/>
      <c r="H39" s="23"/>
      <c r="I39" s="23"/>
    </row>
    <row r="40" spans="1:9" x14ac:dyDescent="0.25">
      <c r="A40" s="23"/>
      <c r="B40" s="23"/>
      <c r="C40" s="23"/>
      <c r="D40" s="23"/>
      <c r="E40" s="23"/>
      <c r="F40" s="23"/>
      <c r="G40" s="23"/>
      <c r="H40" s="23"/>
      <c r="I40" s="23"/>
    </row>
    <row r="41" spans="1:9" x14ac:dyDescent="0.25">
      <c r="A41" s="23"/>
      <c r="B41" s="23"/>
      <c r="C41" s="23"/>
      <c r="D41" s="23"/>
      <c r="E41" s="23"/>
      <c r="F41" s="23"/>
      <c r="G41" s="23"/>
      <c r="H41" s="23"/>
      <c r="I41" s="23"/>
    </row>
    <row r="42" spans="1:9" x14ac:dyDescent="0.25">
      <c r="A42" s="23"/>
      <c r="B42" s="23"/>
      <c r="C42" s="23"/>
      <c r="D42" s="23"/>
      <c r="E42" s="23"/>
      <c r="F42" s="23"/>
      <c r="G42" s="23"/>
      <c r="H42" s="23"/>
      <c r="I42" s="23" t="s">
        <v>79</v>
      </c>
    </row>
  </sheetData>
  <sheetProtection sheet="1" objects="1" scenarios="1" formatCells="0" formatColumns="0" formatRows="0" selectLockedCells="1"/>
  <mergeCells count="12">
    <mergeCell ref="A15:I17"/>
    <mergeCell ref="A13:I13"/>
    <mergeCell ref="A1:I1"/>
    <mergeCell ref="A3:D3"/>
    <mergeCell ref="A4:D4"/>
    <mergeCell ref="A5:D5"/>
    <mergeCell ref="E3:I3"/>
    <mergeCell ref="E4:I4"/>
    <mergeCell ref="E5:I5"/>
    <mergeCell ref="A7:I7"/>
    <mergeCell ref="A9:I9"/>
    <mergeCell ref="A11:I11"/>
  </mergeCells>
  <pageMargins left="0.7" right="0.7" top="0.75" bottom="0.75" header="0.3" footer="0.3"/>
  <pageSetup scale="98" orientation="portrait" r:id="rId1"/>
  <headerFooter>
    <oddFooter>&amp;CPage &amp;P of &amp;N</oddFooter>
  </headerFooter>
  <extLst>
    <ext xmlns:x14="http://schemas.microsoft.com/office/spreadsheetml/2009/9/main" uri="{CCE6A557-97BC-4b89-ADB6-D9C93CAAB3DF}">
      <x14:dataValidations xmlns:xm="http://schemas.microsoft.com/office/excel/2006/main" count="1">
        <x14:dataValidation type="list" allowBlank="1" xr:uid="{00000000-0002-0000-0300-000000000000}">
          <x14:formula1>
            <xm:f>AutoFill!$K$5:$K$6</xm:f>
          </x14:formula1>
          <xm:sqref>A9:I9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51"/>
  <sheetViews>
    <sheetView showGridLines="0" topLeftCell="A13" zoomScale="85" zoomScaleNormal="85" zoomScaleSheetLayoutView="100" zoomScalePageLayoutView="55" workbookViewId="0">
      <selection activeCell="D33" sqref="D33"/>
    </sheetView>
  </sheetViews>
  <sheetFormatPr defaultColWidth="0" defaultRowHeight="15" zeroHeight="1" x14ac:dyDescent="0.25"/>
  <cols>
    <col min="1" max="1" width="5.7109375" customWidth="1"/>
    <col min="2" max="2" width="54.5703125" customWidth="1"/>
    <col min="3" max="3" width="13.7109375" customWidth="1"/>
    <col min="4" max="4" width="16" customWidth="1"/>
    <col min="5" max="5" width="0.5703125" style="92" customWidth="1"/>
    <col min="6" max="16384" width="9.140625" style="92" hidden="1"/>
  </cols>
  <sheetData>
    <row r="1" spans="1:4" x14ac:dyDescent="0.25">
      <c r="A1" s="133" t="str">
        <f>'PO Cover'!H1&amp;" PRICING"</f>
        <v>SUBCONTRACT PRICING</v>
      </c>
      <c r="B1" s="133"/>
      <c r="C1" s="65" t="s">
        <v>0</v>
      </c>
      <c r="D1" s="85" t="str">
        <f>'PO Cover'!I2</f>
        <v>000000-S-0000</v>
      </c>
    </row>
    <row r="2" spans="1:4" x14ac:dyDescent="0.25">
      <c r="A2" s="136"/>
      <c r="B2" s="137"/>
      <c r="C2" s="137"/>
      <c r="D2" s="138"/>
    </row>
    <row r="3" spans="1:4" x14ac:dyDescent="0.25">
      <c r="A3" s="66" t="s">
        <v>29</v>
      </c>
      <c r="B3" s="66" t="s">
        <v>30</v>
      </c>
      <c r="C3" s="90" t="s">
        <v>31</v>
      </c>
      <c r="D3" s="84" t="s">
        <v>32</v>
      </c>
    </row>
    <row r="4" spans="1:4" x14ac:dyDescent="0.25">
      <c r="A4" s="82"/>
      <c r="B4" s="82"/>
      <c r="C4" s="94"/>
      <c r="D4" s="67">
        <f t="shared" ref="D4:D32" si="0">IF(A4="",0,A4*C4)</f>
        <v>0</v>
      </c>
    </row>
    <row r="5" spans="1:4" x14ac:dyDescent="0.25">
      <c r="A5" s="82"/>
      <c r="B5" s="82"/>
      <c r="C5" s="94"/>
      <c r="D5" s="67">
        <f t="shared" si="0"/>
        <v>0</v>
      </c>
    </row>
    <row r="6" spans="1:4" x14ac:dyDescent="0.25">
      <c r="A6" s="82"/>
      <c r="B6" s="82"/>
      <c r="C6" s="94"/>
      <c r="D6" s="67">
        <f t="shared" si="0"/>
        <v>0</v>
      </c>
    </row>
    <row r="7" spans="1:4" x14ac:dyDescent="0.25">
      <c r="A7" s="82"/>
      <c r="B7" s="82"/>
      <c r="C7" s="94"/>
      <c r="D7" s="67">
        <f t="shared" si="0"/>
        <v>0</v>
      </c>
    </row>
    <row r="8" spans="1:4" x14ac:dyDescent="0.25">
      <c r="A8" s="82"/>
      <c r="B8" s="82"/>
      <c r="C8" s="94"/>
      <c r="D8" s="67">
        <f t="shared" si="0"/>
        <v>0</v>
      </c>
    </row>
    <row r="9" spans="1:4" x14ac:dyDescent="0.25">
      <c r="A9" s="82"/>
      <c r="B9" s="82"/>
      <c r="C9" s="94"/>
      <c r="D9" s="67">
        <f t="shared" si="0"/>
        <v>0</v>
      </c>
    </row>
    <row r="10" spans="1:4" x14ac:dyDescent="0.25">
      <c r="A10" s="82"/>
      <c r="B10" s="82"/>
      <c r="C10" s="94"/>
      <c r="D10" s="67">
        <f t="shared" si="0"/>
        <v>0</v>
      </c>
    </row>
    <row r="11" spans="1:4" x14ac:dyDescent="0.25">
      <c r="A11" s="82"/>
      <c r="B11" s="82"/>
      <c r="C11" s="94"/>
      <c r="D11" s="67">
        <f t="shared" si="0"/>
        <v>0</v>
      </c>
    </row>
    <row r="12" spans="1:4" x14ac:dyDescent="0.25">
      <c r="A12" s="82"/>
      <c r="B12" s="82"/>
      <c r="C12" s="94"/>
      <c r="D12" s="67">
        <f t="shared" si="0"/>
        <v>0</v>
      </c>
    </row>
    <row r="13" spans="1:4" x14ac:dyDescent="0.25">
      <c r="A13" s="82"/>
      <c r="B13" s="82"/>
      <c r="C13" s="94"/>
      <c r="D13" s="67">
        <f t="shared" si="0"/>
        <v>0</v>
      </c>
    </row>
    <row r="14" spans="1:4" x14ac:dyDescent="0.25">
      <c r="A14" s="82"/>
      <c r="B14" s="82"/>
      <c r="C14" s="94"/>
      <c r="D14" s="67">
        <f t="shared" si="0"/>
        <v>0</v>
      </c>
    </row>
    <row r="15" spans="1:4" x14ac:dyDescent="0.25">
      <c r="A15" s="82"/>
      <c r="B15" s="82"/>
      <c r="C15" s="94"/>
      <c r="D15" s="67">
        <f t="shared" si="0"/>
        <v>0</v>
      </c>
    </row>
    <row r="16" spans="1:4" x14ac:dyDescent="0.25">
      <c r="A16" s="82"/>
      <c r="B16" s="82"/>
      <c r="C16" s="94"/>
      <c r="D16" s="67">
        <f t="shared" si="0"/>
        <v>0</v>
      </c>
    </row>
    <row r="17" spans="1:4" x14ac:dyDescent="0.25">
      <c r="A17" s="82"/>
      <c r="B17" s="82"/>
      <c r="C17" s="94"/>
      <c r="D17" s="67">
        <f t="shared" si="0"/>
        <v>0</v>
      </c>
    </row>
    <row r="18" spans="1:4" x14ac:dyDescent="0.25">
      <c r="A18" s="82"/>
      <c r="B18" s="82"/>
      <c r="C18" s="94"/>
      <c r="D18" s="67">
        <f t="shared" si="0"/>
        <v>0</v>
      </c>
    </row>
    <row r="19" spans="1:4" x14ac:dyDescent="0.25">
      <c r="A19" s="82"/>
      <c r="B19" s="82"/>
      <c r="C19" s="94"/>
      <c r="D19" s="67">
        <f t="shared" si="0"/>
        <v>0</v>
      </c>
    </row>
    <row r="20" spans="1:4" x14ac:dyDescent="0.25">
      <c r="A20" s="82"/>
      <c r="B20" s="82"/>
      <c r="C20" s="94"/>
      <c r="D20" s="67">
        <f t="shared" si="0"/>
        <v>0</v>
      </c>
    </row>
    <row r="21" spans="1:4" x14ac:dyDescent="0.25">
      <c r="A21" s="82"/>
      <c r="B21" s="82"/>
      <c r="C21" s="94"/>
      <c r="D21" s="67">
        <f t="shared" si="0"/>
        <v>0</v>
      </c>
    </row>
    <row r="22" spans="1:4" x14ac:dyDescent="0.25">
      <c r="A22" s="82"/>
      <c r="B22" s="82"/>
      <c r="C22" s="94"/>
      <c r="D22" s="67">
        <f t="shared" si="0"/>
        <v>0</v>
      </c>
    </row>
    <row r="23" spans="1:4" x14ac:dyDescent="0.25">
      <c r="A23" s="82"/>
      <c r="B23" s="82"/>
      <c r="C23" s="94"/>
      <c r="D23" s="67">
        <f t="shared" si="0"/>
        <v>0</v>
      </c>
    </row>
    <row r="24" spans="1:4" x14ac:dyDescent="0.25">
      <c r="A24" s="82"/>
      <c r="B24" s="82"/>
      <c r="C24" s="94"/>
      <c r="D24" s="67">
        <f t="shared" si="0"/>
        <v>0</v>
      </c>
    </row>
    <row r="25" spans="1:4" x14ac:dyDescent="0.25">
      <c r="A25" s="82"/>
      <c r="B25" s="82"/>
      <c r="C25" s="94"/>
      <c r="D25" s="67">
        <f t="shared" si="0"/>
        <v>0</v>
      </c>
    </row>
    <row r="26" spans="1:4" x14ac:dyDescent="0.25">
      <c r="A26" s="82"/>
      <c r="B26" s="82"/>
      <c r="C26" s="94"/>
      <c r="D26" s="67">
        <f t="shared" si="0"/>
        <v>0</v>
      </c>
    </row>
    <row r="27" spans="1:4" x14ac:dyDescent="0.25">
      <c r="A27" s="82"/>
      <c r="B27" s="82"/>
      <c r="C27" s="94"/>
      <c r="D27" s="67">
        <f t="shared" si="0"/>
        <v>0</v>
      </c>
    </row>
    <row r="28" spans="1:4" x14ac:dyDescent="0.25">
      <c r="A28" s="82"/>
      <c r="B28" s="82"/>
      <c r="C28" s="94"/>
      <c r="D28" s="67">
        <f t="shared" si="0"/>
        <v>0</v>
      </c>
    </row>
    <row r="29" spans="1:4" x14ac:dyDescent="0.25">
      <c r="A29" s="82"/>
      <c r="B29" s="82"/>
      <c r="C29" s="94"/>
      <c r="D29" s="67">
        <f t="shared" si="0"/>
        <v>0</v>
      </c>
    </row>
    <row r="30" spans="1:4" x14ac:dyDescent="0.25">
      <c r="A30" s="61"/>
      <c r="B30" s="61"/>
      <c r="C30" s="91"/>
      <c r="D30" s="67">
        <f t="shared" si="0"/>
        <v>0</v>
      </c>
    </row>
    <row r="31" spans="1:4" x14ac:dyDescent="0.25">
      <c r="A31" s="61"/>
      <c r="B31" s="61"/>
      <c r="C31" s="91"/>
      <c r="D31" s="67">
        <f t="shared" si="0"/>
        <v>0</v>
      </c>
    </row>
    <row r="32" spans="1:4" x14ac:dyDescent="0.25">
      <c r="A32" s="61"/>
      <c r="B32" s="61"/>
      <c r="C32" s="91"/>
      <c r="D32" s="67">
        <f t="shared" si="0"/>
        <v>0</v>
      </c>
    </row>
    <row r="33" spans="1:4" hidden="1" x14ac:dyDescent="0.25">
      <c r="A33" s="139"/>
      <c r="B33" s="139"/>
      <c r="C33" s="95" t="s">
        <v>33</v>
      </c>
      <c r="D33" s="83">
        <v>0</v>
      </c>
    </row>
    <row r="34" spans="1:4" hidden="1" x14ac:dyDescent="0.25">
      <c r="A34" s="139"/>
      <c r="B34" s="139"/>
      <c r="C34" s="95" t="s">
        <v>155</v>
      </c>
      <c r="D34" s="98">
        <f>IFERROR(SUM(D4:D33),SUM(D4:D29))</f>
        <v>0</v>
      </c>
    </row>
    <row r="35" spans="1:4" hidden="1" x14ac:dyDescent="0.25">
      <c r="A35" s="70" t="s">
        <v>44</v>
      </c>
      <c r="B35" s="81" t="s">
        <v>34</v>
      </c>
      <c r="C35" s="96">
        <f>VLOOKUP(B35,Table2[],2,FALSE)</f>
        <v>0.06</v>
      </c>
      <c r="D35" s="69">
        <f>D34*C35</f>
        <v>0</v>
      </c>
    </row>
    <row r="36" spans="1:4" x14ac:dyDescent="0.25">
      <c r="A36" s="3"/>
      <c r="B36" s="3"/>
      <c r="C36" s="97" t="s">
        <v>36</v>
      </c>
      <c r="D36" s="68">
        <f>IF(A1="PURCHASE ORDER PRICING",(D34+D35),SUM(D4:D32))</f>
        <v>0</v>
      </c>
    </row>
    <row r="37" spans="1:4" x14ac:dyDescent="0.25">
      <c r="A37" s="3"/>
      <c r="D37" s="93"/>
    </row>
    <row r="38" spans="1:4" x14ac:dyDescent="0.25">
      <c r="A38" s="2" t="s">
        <v>39</v>
      </c>
      <c r="D38" s="93"/>
    </row>
    <row r="39" spans="1:4" x14ac:dyDescent="0.25">
      <c r="A39" s="66" t="s">
        <v>40</v>
      </c>
      <c r="B39" s="140" t="s">
        <v>30</v>
      </c>
      <c r="C39" s="141"/>
      <c r="D39" s="84" t="s">
        <v>32</v>
      </c>
    </row>
    <row r="40" spans="1:4" x14ac:dyDescent="0.25">
      <c r="A40" s="61"/>
      <c r="B40" s="134"/>
      <c r="C40" s="135"/>
      <c r="D40" s="67">
        <v>0</v>
      </c>
    </row>
    <row r="41" spans="1:4" x14ac:dyDescent="0.25">
      <c r="A41" s="61"/>
      <c r="B41" s="134"/>
      <c r="C41" s="135"/>
      <c r="D41" s="67">
        <v>0</v>
      </c>
    </row>
    <row r="42" spans="1:4" x14ac:dyDescent="0.25">
      <c r="A42" s="61"/>
      <c r="B42" s="134"/>
      <c r="C42" s="135"/>
      <c r="D42" s="67">
        <v>0</v>
      </c>
    </row>
    <row r="43" spans="1:4" x14ac:dyDescent="0.25">
      <c r="A43" s="61"/>
      <c r="B43" s="134"/>
      <c r="C43" s="135"/>
      <c r="D43" s="67">
        <v>0</v>
      </c>
    </row>
    <row r="44" spans="1:4" x14ac:dyDescent="0.25">
      <c r="D44" s="93"/>
    </row>
    <row r="45" spans="1:4" x14ac:dyDescent="0.25">
      <c r="A45" s="2" t="s">
        <v>41</v>
      </c>
      <c r="D45" s="93"/>
    </row>
    <row r="46" spans="1:4" x14ac:dyDescent="0.25">
      <c r="A46" s="140" t="s">
        <v>42</v>
      </c>
      <c r="B46" s="140"/>
      <c r="C46" s="141"/>
      <c r="D46" s="84" t="s">
        <v>43</v>
      </c>
    </row>
    <row r="47" spans="1:4" x14ac:dyDescent="0.25">
      <c r="A47" s="134"/>
      <c r="B47" s="134"/>
      <c r="C47" s="135"/>
      <c r="D47" s="67">
        <v>0</v>
      </c>
    </row>
    <row r="48" spans="1:4" x14ac:dyDescent="0.25">
      <c r="A48" s="134"/>
      <c r="B48" s="134"/>
      <c r="C48" s="135"/>
      <c r="D48" s="67">
        <v>0</v>
      </c>
    </row>
    <row r="49" spans="1:4" x14ac:dyDescent="0.25">
      <c r="A49" s="134"/>
      <c r="B49" s="134"/>
      <c r="C49" s="135"/>
      <c r="D49" s="67">
        <v>0</v>
      </c>
    </row>
    <row r="50" spans="1:4" x14ac:dyDescent="0.25">
      <c r="A50" s="134"/>
      <c r="B50" s="134"/>
      <c r="C50" s="135"/>
      <c r="D50" s="67">
        <v>0</v>
      </c>
    </row>
    <row r="51" spans="1:4" hidden="1" x14ac:dyDescent="0.25"/>
  </sheetData>
  <sheetProtection sheet="1" objects="1" scenarios="1" formatCells="0" formatColumns="0" formatRows="0" insertRows="0" deleteRows="0" selectLockedCells="1"/>
  <mergeCells count="13">
    <mergeCell ref="A50:C50"/>
    <mergeCell ref="A33:B34"/>
    <mergeCell ref="B39:C39"/>
    <mergeCell ref="B40:C40"/>
    <mergeCell ref="B41:C41"/>
    <mergeCell ref="B42:C42"/>
    <mergeCell ref="B43:C43"/>
    <mergeCell ref="A46:C46"/>
    <mergeCell ref="A1:B1"/>
    <mergeCell ref="A47:C47"/>
    <mergeCell ref="A48:C48"/>
    <mergeCell ref="A49:C49"/>
    <mergeCell ref="A2:D2"/>
  </mergeCells>
  <dataValidations disablePrompts="1" count="1">
    <dataValidation allowBlank="1" showErrorMessage="1" prompt="_x000a_" sqref="C35" xr:uid="{00000000-0002-0000-0400-000000000000}"/>
  </dataValidations>
  <pageMargins left="0.7" right="0.7" top="0.75" bottom="0.75" header="0.3" footer="0.3"/>
  <pageSetup scale="96" orientation="portrait" r:id="rId1"/>
  <headerFooter>
    <oddHeader>&amp;LBurns Mechanical, Inc.&amp;RPricing Sheet</oddHeader>
    <oddFooter>&amp;CPage &amp;P of &amp;N</oddFooter>
  </headerFooter>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1000000}">
          <x14:formula1>
            <xm:f>AutoFill!$A$6:$A$9</xm:f>
          </x14:formula1>
          <xm:sqref>B35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55"/>
  <sheetViews>
    <sheetView showGridLines="0" zoomScale="85" zoomScaleNormal="85" zoomScaleSheetLayoutView="85" zoomScalePageLayoutView="70" workbookViewId="0">
      <selection activeCell="I3" sqref="I3"/>
    </sheetView>
  </sheetViews>
  <sheetFormatPr defaultColWidth="0" defaultRowHeight="15" zeroHeight="1" x14ac:dyDescent="0.25"/>
  <cols>
    <col min="1" max="1" width="7" style="1" customWidth="1"/>
    <col min="2" max="2" width="13.7109375" style="1" customWidth="1"/>
    <col min="3" max="3" width="11.7109375" style="1" customWidth="1"/>
    <col min="4" max="4" width="12" style="2" customWidth="1"/>
    <col min="5" max="5" width="1.28515625" style="2" customWidth="1"/>
    <col min="6" max="6" width="10.5703125" style="2" customWidth="1"/>
    <col min="7" max="7" width="7" style="2" customWidth="1"/>
    <col min="8" max="8" width="10" style="1" customWidth="1"/>
    <col min="9" max="9" width="16.85546875" style="1" customWidth="1"/>
    <col min="10" max="12" width="9.140625" style="86" customWidth="1"/>
    <col min="13" max="16384" width="9.140625" style="1" hidden="1"/>
  </cols>
  <sheetData>
    <row r="1" spans="1:12" x14ac:dyDescent="0.25">
      <c r="A1" s="16"/>
      <c r="B1" s="16"/>
      <c r="C1" s="16"/>
      <c r="D1" s="16"/>
      <c r="E1" s="16"/>
      <c r="F1" s="16"/>
      <c r="G1" s="62" t="str">
        <f>'PO Cover'!H1</f>
        <v>SUBCONTRACT</v>
      </c>
      <c r="H1" s="109" t="s">
        <v>178</v>
      </c>
      <c r="I1" s="109"/>
      <c r="J1" s="122"/>
      <c r="K1" s="122"/>
      <c r="L1" s="122"/>
    </row>
    <row r="2" spans="1:12" ht="14.25" x14ac:dyDescent="0.2">
      <c r="A2" s="16"/>
      <c r="B2" s="16"/>
      <c r="C2" s="16"/>
      <c r="D2" s="16"/>
      <c r="E2" s="16"/>
      <c r="F2" s="16"/>
      <c r="G2" s="63">
        <f>MAX('Change Order Log'!A9:A41)</f>
        <v>0</v>
      </c>
      <c r="H2" s="32" t="s">
        <v>0</v>
      </c>
      <c r="I2" s="52" t="str">
        <f>'PO Cover'!I2</f>
        <v>000000-S-0000</v>
      </c>
      <c r="J2" s="122"/>
      <c r="K2" s="122"/>
      <c r="L2" s="122"/>
    </row>
    <row r="3" spans="1:12" ht="14.25" x14ac:dyDescent="0.2">
      <c r="A3" s="16"/>
      <c r="B3" s="16"/>
      <c r="C3" s="16"/>
      <c r="D3" s="16"/>
      <c r="E3" s="16"/>
      <c r="F3" s="16"/>
      <c r="G3" s="16"/>
      <c r="H3" s="32" t="s">
        <v>106</v>
      </c>
      <c r="I3" s="33" t="s">
        <v>100</v>
      </c>
      <c r="J3" s="122"/>
      <c r="K3" s="122"/>
      <c r="L3" s="122"/>
    </row>
    <row r="4" spans="1:12" ht="14.25" x14ac:dyDescent="0.2">
      <c r="A4" s="16"/>
      <c r="B4" s="16"/>
      <c r="D4" s="77"/>
      <c r="E4" s="77"/>
      <c r="F4" s="77"/>
      <c r="G4" s="16"/>
      <c r="H4" s="32" t="s">
        <v>1</v>
      </c>
      <c r="I4" s="33">
        <f>'PO Cover'!I3</f>
        <v>0</v>
      </c>
      <c r="J4" s="122"/>
      <c r="K4" s="122"/>
      <c r="L4" s="122"/>
    </row>
    <row r="5" spans="1:12" ht="15" customHeight="1" x14ac:dyDescent="0.2">
      <c r="A5" s="16"/>
      <c r="B5" s="120" t="s">
        <v>172</v>
      </c>
      <c r="C5" s="120"/>
      <c r="D5" s="120"/>
      <c r="E5" s="120"/>
      <c r="F5" s="120"/>
      <c r="G5" s="16"/>
      <c r="H5" s="32" t="s">
        <v>2</v>
      </c>
      <c r="I5" s="33" t="str">
        <f>'PO Cover'!I4</f>
        <v>SU</v>
      </c>
      <c r="J5" s="122"/>
      <c r="K5" s="122"/>
      <c r="L5" s="122"/>
    </row>
    <row r="6" spans="1:12" ht="14.25" x14ac:dyDescent="0.2">
      <c r="A6" s="16"/>
      <c r="B6" s="16"/>
      <c r="D6" s="16"/>
      <c r="E6" s="16"/>
      <c r="F6" s="16"/>
      <c r="G6" s="16"/>
      <c r="H6" s="16"/>
      <c r="I6" s="16"/>
      <c r="J6" s="122"/>
      <c r="K6" s="122"/>
      <c r="L6" s="122"/>
    </row>
    <row r="7" spans="1:12" ht="14.25" x14ac:dyDescent="0.2">
      <c r="A7" s="114" t="s">
        <v>3</v>
      </c>
      <c r="B7" s="113" t="str">
        <f>'PO Cover'!B6:D6</f>
        <v>&lt;Enter Company Name&gt;</v>
      </c>
      <c r="C7" s="113"/>
      <c r="D7" s="113"/>
      <c r="E7" s="16"/>
      <c r="F7" s="114" t="s">
        <v>5</v>
      </c>
      <c r="G7" s="117" t="str">
        <f>'PO Cover'!G6:I6</f>
        <v>Example, Inc.</v>
      </c>
      <c r="H7" s="119"/>
      <c r="I7" s="118"/>
      <c r="J7" s="122"/>
      <c r="K7" s="122"/>
      <c r="L7" s="122"/>
    </row>
    <row r="8" spans="1:12" ht="14.25" x14ac:dyDescent="0.2">
      <c r="A8" s="115"/>
      <c r="B8" s="113" t="str">
        <f>'PO Cover'!B7:D7</f>
        <v>&lt;Line 1 of Address&gt;</v>
      </c>
      <c r="C8" s="113"/>
      <c r="D8" s="113"/>
      <c r="E8" s="16"/>
      <c r="F8" s="115"/>
      <c r="G8" s="117" t="str">
        <f>'PO Cover'!G7:I7</f>
        <v>Fabrication Shop</v>
      </c>
      <c r="H8" s="119"/>
      <c r="I8" s="118"/>
      <c r="J8" s="122"/>
      <c r="K8" s="122"/>
      <c r="L8" s="122"/>
    </row>
    <row r="9" spans="1:12" ht="14.25" x14ac:dyDescent="0.2">
      <c r="A9" s="115"/>
      <c r="B9" s="113" t="str">
        <f>'PO Cover'!B8:D8</f>
        <v>&lt;Line 2 of Address&gt;</v>
      </c>
      <c r="C9" s="113"/>
      <c r="D9" s="113"/>
      <c r="E9" s="16"/>
      <c r="F9" s="115"/>
      <c r="G9" s="117" t="str">
        <f>'PO Cover'!G8:I8</f>
        <v>Example</v>
      </c>
      <c r="H9" s="119"/>
      <c r="I9" s="118"/>
      <c r="J9" s="122"/>
      <c r="K9" s="122"/>
      <c r="L9" s="122"/>
    </row>
    <row r="10" spans="1:12" ht="14.25" x14ac:dyDescent="0.2">
      <c r="A10" s="116"/>
      <c r="B10" s="113" t="str">
        <f>'PO Cover'!B9:D9</f>
        <v>&lt;City, State, Zip&gt;</v>
      </c>
      <c r="C10" s="113"/>
      <c r="D10" s="113"/>
      <c r="E10" s="16"/>
      <c r="F10" s="116"/>
      <c r="G10" s="117" t="str">
        <f>'PO Cover'!G9:I9</f>
        <v>Example, PA XXXXX</v>
      </c>
      <c r="H10" s="119"/>
      <c r="I10" s="118"/>
      <c r="J10" s="122"/>
      <c r="K10" s="122"/>
      <c r="L10" s="122"/>
    </row>
    <row r="11" spans="1:12" ht="14.25" x14ac:dyDescent="0.2">
      <c r="A11" s="32" t="s">
        <v>4</v>
      </c>
      <c r="B11" s="113" t="str">
        <f>'PO Cover'!B10:D10</f>
        <v>&lt;Attn&gt;</v>
      </c>
      <c r="C11" s="113"/>
      <c r="D11" s="113"/>
      <c r="E11" s="16"/>
      <c r="F11" s="32" t="s">
        <v>4</v>
      </c>
      <c r="G11" s="117" t="str">
        <f>'PO Cover'!G10:I10</f>
        <v>&lt;Attn&gt;</v>
      </c>
      <c r="H11" s="119"/>
      <c r="I11" s="118"/>
      <c r="J11" s="122"/>
      <c r="K11" s="122"/>
      <c r="L11" s="122"/>
    </row>
    <row r="12" spans="1:12" ht="14.25" hidden="1" x14ac:dyDescent="0.2">
      <c r="A12" s="18"/>
      <c r="B12" s="19"/>
      <c r="C12" s="19"/>
      <c r="D12" s="19"/>
      <c r="E12" s="20"/>
      <c r="F12" s="18"/>
      <c r="G12" s="19"/>
      <c r="H12" s="19"/>
      <c r="I12" s="19"/>
      <c r="J12" s="122"/>
      <c r="K12" s="122"/>
      <c r="L12" s="122"/>
    </row>
    <row r="13" spans="1:12" ht="14.25" hidden="1" customHeight="1" x14ac:dyDescent="0.2">
      <c r="A13" s="110" t="s">
        <v>14</v>
      </c>
      <c r="B13" s="111"/>
      <c r="C13" s="117" t="str">
        <f>'PO Cover'!C12:D12</f>
        <v>Best Way</v>
      </c>
      <c r="D13" s="118"/>
      <c r="E13" s="110" t="s">
        <v>15</v>
      </c>
      <c r="F13" s="111"/>
      <c r="G13" s="117" t="str">
        <f>'PO Cover'!G12:I12</f>
        <v>FOB Dest Frght Prepaid Allwd</v>
      </c>
      <c r="H13" s="119"/>
      <c r="I13" s="118"/>
      <c r="J13" s="122"/>
      <c r="K13" s="122"/>
      <c r="L13" s="122"/>
    </row>
    <row r="14" spans="1:12" ht="14.25" x14ac:dyDescent="0.2">
      <c r="D14" s="1"/>
      <c r="E14" s="1"/>
      <c r="F14" s="1"/>
      <c r="G14" s="1"/>
      <c r="J14" s="122"/>
      <c r="K14" s="122"/>
      <c r="L14" s="122"/>
    </row>
    <row r="15" spans="1:12" ht="15" customHeight="1" x14ac:dyDescent="0.2">
      <c r="A15" s="9" t="s">
        <v>6</v>
      </c>
      <c r="B15" s="30" t="e">
        <f>VLOOKUP(I3,Table12[],53,FALSE)</f>
        <v>#N/A</v>
      </c>
      <c r="C15" s="31" t="s">
        <v>8</v>
      </c>
      <c r="D15" s="117" t="str">
        <f>'PO Cover'!D14:G14</f>
        <v>&lt;Job Name&gt;</v>
      </c>
      <c r="E15" s="119"/>
      <c r="F15" s="119"/>
      <c r="G15" s="118"/>
      <c r="H15" s="31" t="s">
        <v>7</v>
      </c>
      <c r="I15" s="33" t="str">
        <f>'PO Cover'!I14</f>
        <v>&lt;Written By&gt;</v>
      </c>
      <c r="J15" s="122"/>
      <c r="K15" s="122"/>
      <c r="L15" s="122"/>
    </row>
    <row r="16" spans="1:12" s="26" customFormat="1" ht="12.75" customHeight="1" x14ac:dyDescent="0.2">
      <c r="A16" s="16"/>
      <c r="B16" s="16"/>
      <c r="C16" s="16"/>
      <c r="D16" s="16"/>
      <c r="E16" s="16"/>
      <c r="F16" s="16"/>
      <c r="G16" s="16"/>
      <c r="H16" s="16"/>
      <c r="I16" s="16"/>
      <c r="J16" s="122"/>
      <c r="K16" s="122"/>
      <c r="L16" s="122"/>
    </row>
    <row r="17" spans="1:12" s="26" customFormat="1" ht="15" customHeight="1" x14ac:dyDescent="0.2">
      <c r="A17" s="101" t="str">
        <f>VLOOKUP($G$1,Table1[],11,FALSE)</f>
        <v>SUBCONTRACTOR does hereby promise and agree to furnish all of the necessary office support, labor, materials, tools, equipment and supplies, together with any other items, necessary or incidental to the performance of the work described herein. All terms and conditions of the original SUBCONTRACT apply to this Change Order.</v>
      </c>
      <c r="B17" s="101"/>
      <c r="C17" s="101"/>
      <c r="D17" s="101"/>
      <c r="E17" s="101"/>
      <c r="F17" s="101"/>
      <c r="G17" s="101"/>
      <c r="H17" s="101"/>
      <c r="I17" s="101"/>
      <c r="J17" s="122"/>
      <c r="K17" s="122"/>
      <c r="L17" s="122"/>
    </row>
    <row r="18" spans="1:12" s="26" customFormat="1" ht="14.25" customHeight="1" x14ac:dyDescent="0.2">
      <c r="A18" s="101"/>
      <c r="B18" s="101"/>
      <c r="C18" s="101"/>
      <c r="D18" s="101"/>
      <c r="E18" s="101"/>
      <c r="F18" s="101"/>
      <c r="G18" s="101"/>
      <c r="H18" s="101"/>
      <c r="I18" s="101"/>
      <c r="J18" s="122"/>
      <c r="K18" s="122"/>
      <c r="L18" s="122"/>
    </row>
    <row r="19" spans="1:12" s="26" customFormat="1" ht="14.25" customHeight="1" x14ac:dyDescent="0.2">
      <c r="A19" s="101"/>
      <c r="B19" s="101"/>
      <c r="C19" s="101"/>
      <c r="D19" s="101"/>
      <c r="E19" s="101"/>
      <c r="F19" s="101"/>
      <c r="G19" s="101"/>
      <c r="H19" s="101"/>
      <c r="I19" s="101"/>
      <c r="J19" s="122"/>
      <c r="K19" s="122"/>
      <c r="L19" s="122"/>
    </row>
    <row r="20" spans="1:12" s="26" customFormat="1" ht="14.25" x14ac:dyDescent="0.2">
      <c r="A20" s="101"/>
      <c r="B20" s="101"/>
      <c r="C20" s="101"/>
      <c r="D20" s="101"/>
      <c r="E20" s="101"/>
      <c r="F20" s="101"/>
      <c r="G20" s="101"/>
      <c r="H20" s="101"/>
      <c r="I20" s="101"/>
      <c r="J20" s="122"/>
      <c r="K20" s="122"/>
      <c r="L20" s="122"/>
    </row>
    <row r="21" spans="1:12" s="26" customFormat="1" ht="14.25" x14ac:dyDescent="0.2">
      <c r="A21" s="101"/>
      <c r="B21" s="101"/>
      <c r="C21" s="101"/>
      <c r="D21" s="101"/>
      <c r="E21" s="101"/>
      <c r="F21" s="101"/>
      <c r="G21" s="101"/>
      <c r="H21" s="101"/>
      <c r="I21" s="101"/>
      <c r="J21" s="122"/>
      <c r="K21" s="122"/>
      <c r="L21" s="122"/>
    </row>
    <row r="22" spans="1:12" s="26" customFormat="1" ht="14.25" x14ac:dyDescent="0.2">
      <c r="A22" s="101"/>
      <c r="B22" s="101"/>
      <c r="C22" s="101"/>
      <c r="D22" s="101"/>
      <c r="E22" s="101"/>
      <c r="F22" s="101"/>
      <c r="G22" s="101"/>
      <c r="H22" s="101"/>
      <c r="I22" s="101"/>
      <c r="J22" s="122"/>
      <c r="K22" s="122"/>
      <c r="L22" s="122"/>
    </row>
    <row r="23" spans="1:12" s="26" customFormat="1" ht="14.25" x14ac:dyDescent="0.2">
      <c r="A23" s="28" t="s">
        <v>107</v>
      </c>
      <c r="B23" s="27"/>
      <c r="C23" s="27"/>
      <c r="D23" s="27"/>
      <c r="E23" s="27"/>
      <c r="F23" s="27"/>
      <c r="G23" s="27"/>
      <c r="H23" s="27"/>
      <c r="I23" s="27"/>
      <c r="J23" s="122"/>
      <c r="K23" s="122"/>
      <c r="L23" s="122"/>
    </row>
    <row r="24" spans="1:12" s="26" customFormat="1" ht="14.25" customHeight="1" x14ac:dyDescent="0.2">
      <c r="A24" s="27"/>
      <c r="B24" s="121" t="s">
        <v>160</v>
      </c>
      <c r="C24" s="121"/>
      <c r="D24" s="121"/>
      <c r="E24" s="121"/>
      <c r="F24" s="121"/>
      <c r="G24" s="121"/>
      <c r="H24" s="121"/>
      <c r="I24" s="121"/>
      <c r="J24" s="122"/>
      <c r="K24" s="122"/>
      <c r="L24" s="122"/>
    </row>
    <row r="25" spans="1:12" s="26" customFormat="1" ht="14.25" x14ac:dyDescent="0.2">
      <c r="A25" s="16"/>
      <c r="B25" s="99" t="s">
        <v>55</v>
      </c>
      <c r="C25" s="99"/>
      <c r="D25" s="99"/>
      <c r="E25" s="99"/>
      <c r="F25" s="99"/>
      <c r="G25" s="99"/>
      <c r="H25" s="99"/>
      <c r="I25" s="99"/>
      <c r="J25" s="122"/>
      <c r="K25" s="122"/>
      <c r="L25" s="122"/>
    </row>
    <row r="26" spans="1:12" s="26" customFormat="1" ht="14.25" x14ac:dyDescent="0.2">
      <c r="A26" s="16"/>
      <c r="B26" s="99" t="s">
        <v>55</v>
      </c>
      <c r="C26" s="99"/>
      <c r="D26" s="99"/>
      <c r="E26" s="99"/>
      <c r="F26" s="99"/>
      <c r="G26" s="99"/>
      <c r="H26" s="99"/>
      <c r="I26" s="99"/>
      <c r="J26" s="122"/>
      <c r="K26" s="122"/>
      <c r="L26" s="122"/>
    </row>
    <row r="27" spans="1:12" s="26" customFormat="1" ht="14.25" x14ac:dyDescent="0.2">
      <c r="A27" s="16"/>
      <c r="B27" s="149" t="s">
        <v>55</v>
      </c>
      <c r="C27" s="149"/>
      <c r="D27" s="149"/>
      <c r="E27" s="149"/>
      <c r="F27" s="149"/>
      <c r="G27" s="149"/>
      <c r="H27" s="149"/>
      <c r="I27" s="149"/>
      <c r="J27" s="122"/>
      <c r="K27" s="122"/>
      <c r="L27" s="122"/>
    </row>
    <row r="28" spans="1:12" s="26" customFormat="1" ht="9.75" customHeight="1" x14ac:dyDescent="0.2">
      <c r="A28" s="16"/>
      <c r="B28" s="16"/>
      <c r="C28" s="16"/>
      <c r="D28" s="16"/>
      <c r="E28" s="16"/>
      <c r="F28" s="16"/>
      <c r="G28" s="16"/>
      <c r="H28" s="16"/>
      <c r="I28" s="16"/>
      <c r="J28" s="122"/>
      <c r="K28" s="122"/>
      <c r="L28" s="122"/>
    </row>
    <row r="29" spans="1:12" s="26" customFormat="1" x14ac:dyDescent="0.2">
      <c r="A29" s="50" t="s">
        <v>29</v>
      </c>
      <c r="B29" s="142" t="s">
        <v>30</v>
      </c>
      <c r="C29" s="150"/>
      <c r="D29" s="150"/>
      <c r="E29" s="143"/>
      <c r="F29" s="142" t="s">
        <v>31</v>
      </c>
      <c r="G29" s="143"/>
      <c r="H29" s="142" t="s">
        <v>32</v>
      </c>
      <c r="I29" s="143"/>
      <c r="J29" s="166"/>
      <c r="K29" s="166"/>
      <c r="L29" s="166"/>
    </row>
    <row r="30" spans="1:12" s="26" customFormat="1" ht="15.75" customHeight="1" x14ac:dyDescent="0.2">
      <c r="A30" s="53" t="e">
        <f>VLOOKUP($I$3,Table12[],2,FALSE)</f>
        <v>#N/A</v>
      </c>
      <c r="B30" s="146" t="e">
        <f>VLOOKUP($I$3,Table12[],3,FALSE)</f>
        <v>#N/A</v>
      </c>
      <c r="C30" s="147"/>
      <c r="D30" s="147"/>
      <c r="E30" s="148"/>
      <c r="F30" s="144" t="e">
        <f>VLOOKUP($I$3,Table12[],4,FALSE)</f>
        <v>#N/A</v>
      </c>
      <c r="G30" s="145"/>
      <c r="H30" s="144" t="e">
        <f>F30*A30</f>
        <v>#N/A</v>
      </c>
      <c r="I30" s="145"/>
      <c r="J30" s="166"/>
      <c r="K30" s="166"/>
      <c r="L30" s="166"/>
    </row>
    <row r="31" spans="1:12" s="26" customFormat="1" ht="14.25" x14ac:dyDescent="0.2">
      <c r="A31" s="53" t="e">
        <f>VLOOKUP($I$3,Table12[],5,FALSE)</f>
        <v>#N/A</v>
      </c>
      <c r="B31" s="146" t="e">
        <f>VLOOKUP($I$3,Table12[],6,FALSE)</f>
        <v>#N/A</v>
      </c>
      <c r="C31" s="147"/>
      <c r="D31" s="147"/>
      <c r="E31" s="148"/>
      <c r="F31" s="144" t="e">
        <f>VLOOKUP($I$3,Table12[],7,FALSE)</f>
        <v>#N/A</v>
      </c>
      <c r="G31" s="145"/>
      <c r="H31" s="144" t="e">
        <f t="shared" ref="H31:H44" si="0">F31*A31</f>
        <v>#N/A</v>
      </c>
      <c r="I31" s="145"/>
      <c r="J31" s="166"/>
      <c r="K31" s="166"/>
      <c r="L31" s="166"/>
    </row>
    <row r="32" spans="1:12" s="26" customFormat="1" ht="14.25" x14ac:dyDescent="0.2">
      <c r="A32" s="53" t="e">
        <f>VLOOKUP($I$3,Table12[],8,FALSE)</f>
        <v>#N/A</v>
      </c>
      <c r="B32" s="146" t="e">
        <f>VLOOKUP($I$3,Table12[],9,FALSE)</f>
        <v>#N/A</v>
      </c>
      <c r="C32" s="147"/>
      <c r="D32" s="147"/>
      <c r="E32" s="148"/>
      <c r="F32" s="144" t="e">
        <f>VLOOKUP($I$3,Table12[],10,FALSE)</f>
        <v>#N/A</v>
      </c>
      <c r="G32" s="145"/>
      <c r="H32" s="144" t="e">
        <f t="shared" si="0"/>
        <v>#N/A</v>
      </c>
      <c r="I32" s="145"/>
      <c r="J32" s="166"/>
      <c r="K32" s="166"/>
      <c r="L32" s="166"/>
    </row>
    <row r="33" spans="1:12" s="26" customFormat="1" ht="14.25" x14ac:dyDescent="0.2">
      <c r="A33" s="53" t="e">
        <f>VLOOKUP($I$3,Table12[],11,FALSE)</f>
        <v>#N/A</v>
      </c>
      <c r="B33" s="146" t="e">
        <f>VLOOKUP($I$3,Table12[],12,FALSE)</f>
        <v>#N/A</v>
      </c>
      <c r="C33" s="147"/>
      <c r="D33" s="147"/>
      <c r="E33" s="148"/>
      <c r="F33" s="144" t="e">
        <f>VLOOKUP($I$3,Table12[],13,FALSE)</f>
        <v>#N/A</v>
      </c>
      <c r="G33" s="145"/>
      <c r="H33" s="144" t="e">
        <f t="shared" si="0"/>
        <v>#N/A</v>
      </c>
      <c r="I33" s="145"/>
      <c r="J33" s="166"/>
      <c r="K33" s="166"/>
      <c r="L33" s="166"/>
    </row>
    <row r="34" spans="1:12" s="26" customFormat="1" ht="14.25" x14ac:dyDescent="0.2">
      <c r="A34" s="53" t="e">
        <f>VLOOKUP($I$3,Table12[],14,FALSE)</f>
        <v>#N/A</v>
      </c>
      <c r="B34" s="146" t="e">
        <f>VLOOKUP($I$3,Table12[],15,FALSE)</f>
        <v>#N/A</v>
      </c>
      <c r="C34" s="147"/>
      <c r="D34" s="147"/>
      <c r="E34" s="148"/>
      <c r="F34" s="144" t="e">
        <f>VLOOKUP($I$3,Table12[],16,FALSE)</f>
        <v>#N/A</v>
      </c>
      <c r="G34" s="145"/>
      <c r="H34" s="144" t="e">
        <f t="shared" si="0"/>
        <v>#N/A</v>
      </c>
      <c r="I34" s="145"/>
      <c r="J34" s="166"/>
      <c r="K34" s="166"/>
      <c r="L34" s="166"/>
    </row>
    <row r="35" spans="1:12" s="26" customFormat="1" ht="14.25" x14ac:dyDescent="0.2">
      <c r="A35" s="53" t="e">
        <f>VLOOKUP($I$3,Table12[],17,FALSE)</f>
        <v>#N/A</v>
      </c>
      <c r="B35" s="146" t="e">
        <f>VLOOKUP($I$3,Table12[],18,FALSE)</f>
        <v>#N/A</v>
      </c>
      <c r="C35" s="147"/>
      <c r="D35" s="147"/>
      <c r="E35" s="148"/>
      <c r="F35" s="144" t="e">
        <f>VLOOKUP($I$3,Table12[],19,FALSE)</f>
        <v>#N/A</v>
      </c>
      <c r="G35" s="145"/>
      <c r="H35" s="144" t="e">
        <f t="shared" si="0"/>
        <v>#N/A</v>
      </c>
      <c r="I35" s="145"/>
      <c r="J35" s="166"/>
      <c r="K35" s="166"/>
      <c r="L35" s="166"/>
    </row>
    <row r="36" spans="1:12" s="26" customFormat="1" ht="14.25" x14ac:dyDescent="0.2">
      <c r="A36" s="53" t="e">
        <f>VLOOKUP($I$3,Table12[],20,FALSE)</f>
        <v>#N/A</v>
      </c>
      <c r="B36" s="146" t="e">
        <f>VLOOKUP($I$3,Table12[],21,FALSE)</f>
        <v>#N/A</v>
      </c>
      <c r="C36" s="147"/>
      <c r="D36" s="147"/>
      <c r="E36" s="148"/>
      <c r="F36" s="144" t="e">
        <f>VLOOKUP($I$3,Table12[],22,FALSE)</f>
        <v>#N/A</v>
      </c>
      <c r="G36" s="145"/>
      <c r="H36" s="144" t="e">
        <f t="shared" si="0"/>
        <v>#N/A</v>
      </c>
      <c r="I36" s="145"/>
      <c r="J36" s="166"/>
      <c r="K36" s="166"/>
      <c r="L36" s="166"/>
    </row>
    <row r="37" spans="1:12" s="26" customFormat="1" ht="14.25" x14ac:dyDescent="0.2">
      <c r="A37" s="53" t="e">
        <f>VLOOKUP($I$3,Table12[],23,FALSE)</f>
        <v>#N/A</v>
      </c>
      <c r="B37" s="146" t="e">
        <f>VLOOKUP($I$3,Table12[],24,FALSE)</f>
        <v>#N/A</v>
      </c>
      <c r="C37" s="147"/>
      <c r="D37" s="147"/>
      <c r="E37" s="148"/>
      <c r="F37" s="144" t="e">
        <f>VLOOKUP($I$3,Table12[],25,FALSE)</f>
        <v>#N/A</v>
      </c>
      <c r="G37" s="145"/>
      <c r="H37" s="144" t="e">
        <f t="shared" si="0"/>
        <v>#N/A</v>
      </c>
      <c r="I37" s="145"/>
      <c r="J37" s="166"/>
      <c r="K37" s="166"/>
      <c r="L37" s="166"/>
    </row>
    <row r="38" spans="1:12" s="26" customFormat="1" ht="15.75" customHeight="1" x14ac:dyDescent="0.2">
      <c r="A38" s="53" t="e">
        <f>VLOOKUP($I$3,Table12[],26,FALSE)</f>
        <v>#N/A</v>
      </c>
      <c r="B38" s="146" t="e">
        <f>VLOOKUP($I$3,Table12[],27,FALSE)</f>
        <v>#N/A</v>
      </c>
      <c r="C38" s="147"/>
      <c r="D38" s="147"/>
      <c r="E38" s="148"/>
      <c r="F38" s="144" t="e">
        <f>VLOOKUP($I$3,Table12[],28,FALSE)</f>
        <v>#N/A</v>
      </c>
      <c r="G38" s="145"/>
      <c r="H38" s="144" t="e">
        <f t="shared" si="0"/>
        <v>#N/A</v>
      </c>
      <c r="I38" s="145"/>
      <c r="J38" s="166"/>
      <c r="K38" s="166"/>
      <c r="L38" s="166"/>
    </row>
    <row r="39" spans="1:12" s="26" customFormat="1" ht="14.25" x14ac:dyDescent="0.2">
      <c r="A39" s="53" t="e">
        <f>VLOOKUP($I$3,Table12[],29,FALSE)</f>
        <v>#N/A</v>
      </c>
      <c r="B39" s="146" t="e">
        <f>VLOOKUP($I$3,Table12[],30,FALSE)</f>
        <v>#N/A</v>
      </c>
      <c r="C39" s="147"/>
      <c r="D39" s="147"/>
      <c r="E39" s="148"/>
      <c r="F39" s="144" t="e">
        <f>VLOOKUP($I$3,Table12[],31,FALSE)</f>
        <v>#N/A</v>
      </c>
      <c r="G39" s="145"/>
      <c r="H39" s="144" t="e">
        <f t="shared" si="0"/>
        <v>#N/A</v>
      </c>
      <c r="I39" s="145"/>
      <c r="J39" s="166"/>
      <c r="K39" s="166"/>
      <c r="L39" s="166"/>
    </row>
    <row r="40" spans="1:12" s="26" customFormat="1" ht="14.25" customHeight="1" x14ac:dyDescent="0.2">
      <c r="A40" s="53" t="e">
        <f>VLOOKUP($I$3,Table12[],32,FALSE)</f>
        <v>#N/A</v>
      </c>
      <c r="B40" s="146" t="e">
        <f>VLOOKUP($I$3,Table12[],33,FALSE)</f>
        <v>#N/A</v>
      </c>
      <c r="C40" s="147"/>
      <c r="D40" s="147"/>
      <c r="E40" s="148"/>
      <c r="F40" s="144" t="e">
        <f>VLOOKUP($I$3,Table12[],34,FALSE)</f>
        <v>#N/A</v>
      </c>
      <c r="G40" s="145"/>
      <c r="H40" s="144" t="e">
        <f t="shared" si="0"/>
        <v>#N/A</v>
      </c>
      <c r="I40" s="145"/>
      <c r="J40" s="166"/>
      <c r="K40" s="166"/>
      <c r="L40" s="166"/>
    </row>
    <row r="41" spans="1:12" s="26" customFormat="1" ht="14.25" customHeight="1" x14ac:dyDescent="0.2">
      <c r="A41" s="53" t="e">
        <f>VLOOKUP($I$3,Table12[],35,FALSE)</f>
        <v>#N/A</v>
      </c>
      <c r="B41" s="146" t="e">
        <f>VLOOKUP($I$3,Table12[],36,FALSE)</f>
        <v>#N/A</v>
      </c>
      <c r="C41" s="147"/>
      <c r="D41" s="147"/>
      <c r="E41" s="148"/>
      <c r="F41" s="144" t="e">
        <f>VLOOKUP($I$3,Table12[],37,FALSE)</f>
        <v>#N/A</v>
      </c>
      <c r="G41" s="145"/>
      <c r="H41" s="144" t="e">
        <f t="shared" si="0"/>
        <v>#N/A</v>
      </c>
      <c r="I41" s="145"/>
      <c r="J41" s="166"/>
      <c r="K41" s="166"/>
      <c r="L41" s="166"/>
    </row>
    <row r="42" spans="1:12" s="26" customFormat="1" ht="14.25" x14ac:dyDescent="0.2">
      <c r="A42" s="53" t="e">
        <f>VLOOKUP($I$3,Table12[],38,FALSE)</f>
        <v>#N/A</v>
      </c>
      <c r="B42" s="146" t="e">
        <f>VLOOKUP($I$3,Table12[],39,FALSE)</f>
        <v>#N/A</v>
      </c>
      <c r="C42" s="147"/>
      <c r="D42" s="147"/>
      <c r="E42" s="148"/>
      <c r="F42" s="144" t="e">
        <f>VLOOKUP($I$3,Table12[],40,FALSE)</f>
        <v>#N/A</v>
      </c>
      <c r="G42" s="145"/>
      <c r="H42" s="144" t="e">
        <f t="shared" si="0"/>
        <v>#N/A</v>
      </c>
      <c r="I42" s="145"/>
      <c r="J42" s="166"/>
      <c r="K42" s="166"/>
      <c r="L42" s="166"/>
    </row>
    <row r="43" spans="1:12" s="26" customFormat="1" ht="14.25" x14ac:dyDescent="0.2">
      <c r="A43" s="53" t="e">
        <f>VLOOKUP($I$3,Table12[],41,FALSE)</f>
        <v>#N/A</v>
      </c>
      <c r="B43" s="146" t="e">
        <f>VLOOKUP($I$3,Table12[],42,FALSE)</f>
        <v>#N/A</v>
      </c>
      <c r="C43" s="147"/>
      <c r="D43" s="147"/>
      <c r="E43" s="148"/>
      <c r="F43" s="144" t="e">
        <f>VLOOKUP($I$3,Table12[],43,FALSE)</f>
        <v>#N/A</v>
      </c>
      <c r="G43" s="145"/>
      <c r="H43" s="144" t="e">
        <f t="shared" si="0"/>
        <v>#N/A</v>
      </c>
      <c r="I43" s="145"/>
      <c r="J43" s="166"/>
      <c r="K43" s="166"/>
      <c r="L43" s="166"/>
    </row>
    <row r="44" spans="1:12" s="26" customFormat="1" ht="14.25" customHeight="1" x14ac:dyDescent="0.2">
      <c r="A44" s="53" t="e">
        <f>VLOOKUP($I$3,Table12[],44,FALSE)</f>
        <v>#N/A</v>
      </c>
      <c r="B44" s="146" t="e">
        <f>VLOOKUP($I$3,Table12[],45,FALSE)</f>
        <v>#N/A</v>
      </c>
      <c r="C44" s="147"/>
      <c r="D44" s="147"/>
      <c r="E44" s="148"/>
      <c r="F44" s="144" t="e">
        <f>VLOOKUP($I$3,Table12[],46,FALSE)</f>
        <v>#N/A</v>
      </c>
      <c r="G44" s="145"/>
      <c r="H44" s="144" t="e">
        <f t="shared" si="0"/>
        <v>#N/A</v>
      </c>
      <c r="I44" s="145"/>
      <c r="J44" s="166"/>
      <c r="K44" s="166"/>
      <c r="L44" s="166"/>
    </row>
    <row r="45" spans="1:12" s="26" customFormat="1" x14ac:dyDescent="0.2">
      <c r="A45" s="159" t="s">
        <v>158</v>
      </c>
      <c r="B45" s="159"/>
      <c r="C45" s="151" t="e">
        <f>VLOOKUP(I3,Table12[],47,FALSE)</f>
        <v>#N/A</v>
      </c>
      <c r="D45" s="151"/>
      <c r="E45" s="151"/>
      <c r="F45" s="162" t="str">
        <f>IF(G1="SUBCONTRACT","Total","Sub-Total")</f>
        <v>Total</v>
      </c>
      <c r="G45" s="162"/>
      <c r="H45" s="151" t="e">
        <f>SUM(H30:I44)</f>
        <v>#N/A</v>
      </c>
      <c r="I45" s="151"/>
      <c r="J45" s="166"/>
      <c r="K45" s="166"/>
      <c r="L45" s="166"/>
    </row>
    <row r="46" spans="1:12" s="26" customFormat="1" hidden="1" x14ac:dyDescent="0.25">
      <c r="A46" s="56" t="s">
        <v>157</v>
      </c>
      <c r="B46" s="57" t="e">
        <f>VLOOKUP(C46,AutoFill!A20:B24,2,FALSE)</f>
        <v>#N/A</v>
      </c>
      <c r="C46" s="51" t="e">
        <f>VLOOKUP(I3,Table12[],48,FALSE)</f>
        <v>#N/A</v>
      </c>
      <c r="D46" s="157" t="e">
        <f>(C45+H45)*C46</f>
        <v>#N/A</v>
      </c>
      <c r="E46" s="158"/>
      <c r="F46" s="160" t="s">
        <v>159</v>
      </c>
      <c r="G46" s="161"/>
      <c r="H46" s="144" t="e">
        <f>H45+C45+D46</f>
        <v>#N/A</v>
      </c>
      <c r="I46" s="145"/>
      <c r="J46" s="166"/>
      <c r="K46" s="166"/>
      <c r="L46" s="166"/>
    </row>
    <row r="47" spans="1:12" s="26" customFormat="1" ht="12.75" customHeight="1" x14ac:dyDescent="0.2">
      <c r="A47" s="16"/>
      <c r="B47" s="16"/>
      <c r="C47" s="16"/>
      <c r="D47" s="16"/>
      <c r="E47" s="16"/>
      <c r="F47" s="29"/>
      <c r="G47" s="29"/>
      <c r="H47" s="29"/>
      <c r="I47" s="29"/>
      <c r="J47" s="166"/>
      <c r="K47" s="166"/>
      <c r="L47" s="166"/>
    </row>
    <row r="48" spans="1:12" s="26" customFormat="1" x14ac:dyDescent="0.25">
      <c r="A48" s="154" t="e">
        <f>IF(VLOOKUP(I3,Table12[],52,FALSE)=0,"&lt;Enter Brief Description in Form&gt;",VLOOKUP(I3,Table12[],52,FALSE))</f>
        <v>#N/A</v>
      </c>
      <c r="B48" s="155"/>
      <c r="C48" s="155"/>
      <c r="D48" s="155"/>
      <c r="E48" s="155"/>
      <c r="F48" s="155"/>
      <c r="G48" s="155"/>
      <c r="H48" s="155"/>
      <c r="I48" s="156"/>
      <c r="J48" s="166"/>
      <c r="K48" s="166"/>
      <c r="L48" s="166"/>
    </row>
    <row r="49" spans="1:12" s="26" customFormat="1" ht="15" customHeight="1" x14ac:dyDescent="0.25">
      <c r="A49" s="104" t="s">
        <v>95</v>
      </c>
      <c r="B49" s="105"/>
      <c r="C49" s="164"/>
      <c r="D49" s="108" t="s">
        <v>103</v>
      </c>
      <c r="E49" s="108"/>
      <c r="F49" s="108"/>
      <c r="G49" s="108"/>
      <c r="H49" s="152">
        <f>'Change Order Log'!D43</f>
        <v>0</v>
      </c>
      <c r="I49" s="153"/>
      <c r="J49" s="166"/>
      <c r="K49" s="166"/>
      <c r="L49" s="166"/>
    </row>
    <row r="50" spans="1:12" s="26" customFormat="1" x14ac:dyDescent="0.25">
      <c r="A50" s="105"/>
      <c r="B50" s="105"/>
      <c r="C50" s="164"/>
      <c r="D50" s="108" t="s">
        <v>104</v>
      </c>
      <c r="E50" s="108"/>
      <c r="F50" s="108"/>
      <c r="G50" s="108"/>
      <c r="H50" s="152">
        <f>'Change Order Log'!D44</f>
        <v>0</v>
      </c>
      <c r="I50" s="153"/>
      <c r="J50" s="166"/>
      <c r="K50" s="166"/>
      <c r="L50" s="166"/>
    </row>
    <row r="51" spans="1:12" s="26" customFormat="1" x14ac:dyDescent="0.25">
      <c r="A51" s="105"/>
      <c r="B51" s="105"/>
      <c r="C51" s="164"/>
      <c r="D51" s="163" t="s">
        <v>109</v>
      </c>
      <c r="E51" s="163"/>
      <c r="F51" s="163"/>
      <c r="G51" s="163"/>
      <c r="H51" s="152">
        <f>'Change Order Log'!D45</f>
        <v>0</v>
      </c>
      <c r="I51" s="153"/>
      <c r="J51" s="166"/>
      <c r="K51" s="166"/>
      <c r="L51" s="166"/>
    </row>
    <row r="52" spans="1:12" s="26" customFormat="1" ht="15" hidden="1" customHeight="1" x14ac:dyDescent="0.25">
      <c r="A52" s="105"/>
      <c r="B52" s="105"/>
      <c r="C52" s="164"/>
      <c r="D52" s="108" t="s">
        <v>64</v>
      </c>
      <c r="E52" s="108"/>
      <c r="F52" s="108"/>
      <c r="G52" s="108"/>
      <c r="H52" s="152">
        <f>'Change Order Log'!D46</f>
        <v>0</v>
      </c>
      <c r="I52" s="153"/>
      <c r="J52" s="166"/>
      <c r="K52" s="166"/>
      <c r="L52" s="166"/>
    </row>
    <row r="53" spans="1:12" s="26" customFormat="1" ht="15" hidden="1" customHeight="1" x14ac:dyDescent="0.25">
      <c r="A53" s="105"/>
      <c r="B53" s="105"/>
      <c r="C53" s="164"/>
      <c r="D53" s="108" t="s">
        <v>33</v>
      </c>
      <c r="E53" s="108"/>
      <c r="F53" s="108"/>
      <c r="G53" s="108"/>
      <c r="H53" s="152">
        <f>'Change Order Log'!D47</f>
        <v>0</v>
      </c>
      <c r="I53" s="153"/>
      <c r="J53" s="166"/>
      <c r="K53" s="166"/>
      <c r="L53" s="166"/>
    </row>
    <row r="54" spans="1:12" s="26" customFormat="1" ht="15" hidden="1" customHeight="1" x14ac:dyDescent="0.25">
      <c r="A54" s="105"/>
      <c r="B54" s="105"/>
      <c r="C54" s="164"/>
      <c r="D54" s="108" t="s">
        <v>69</v>
      </c>
      <c r="E54" s="108"/>
      <c r="F54" s="56" t="str">
        <f>Pricing!B35</f>
        <v>PA</v>
      </c>
      <c r="G54" s="49">
        <f>Pricing!C35</f>
        <v>0.06</v>
      </c>
      <c r="H54" s="152">
        <f>'Change Order Log'!D48</f>
        <v>0</v>
      </c>
      <c r="I54" s="153"/>
      <c r="J54" s="166"/>
      <c r="K54" s="166"/>
      <c r="L54" s="166"/>
    </row>
    <row r="55" spans="1:12" s="26" customFormat="1" ht="15" customHeight="1" x14ac:dyDescent="0.25">
      <c r="A55" s="105"/>
      <c r="B55" s="105"/>
      <c r="C55" s="164"/>
      <c r="D55" s="165" t="s">
        <v>102</v>
      </c>
      <c r="E55" s="165"/>
      <c r="F55" s="165"/>
      <c r="G55" s="165"/>
      <c r="H55" s="152">
        <f>'Change Order Log'!D46</f>
        <v>0</v>
      </c>
      <c r="I55" s="153"/>
      <c r="J55" s="166"/>
      <c r="K55" s="166"/>
      <c r="L55" s="166"/>
    </row>
  </sheetData>
  <sheetProtection sheet="1" objects="1" scenarios="1" formatCells="0" formatColumns="0" formatRows="0" selectLockedCells="1"/>
  <mergeCells count="97">
    <mergeCell ref="B5:F5"/>
    <mergeCell ref="J1:L28"/>
    <mergeCell ref="J29:L55"/>
    <mergeCell ref="H1:I1"/>
    <mergeCell ref="A7:A10"/>
    <mergeCell ref="B7:D7"/>
    <mergeCell ref="F7:F10"/>
    <mergeCell ref="G7:I7"/>
    <mergeCell ref="B8:D8"/>
    <mergeCell ref="G8:I8"/>
    <mergeCell ref="B9:D9"/>
    <mergeCell ref="G9:I9"/>
    <mergeCell ref="B10:D10"/>
    <mergeCell ref="D15:G15"/>
    <mergeCell ref="G10:I10"/>
    <mergeCell ref="B11:D11"/>
    <mergeCell ref="G11:I11"/>
    <mergeCell ref="A13:B13"/>
    <mergeCell ref="C13:D13"/>
    <mergeCell ref="E13:F13"/>
    <mergeCell ref="G13:I13"/>
    <mergeCell ref="D51:G51"/>
    <mergeCell ref="D50:G50"/>
    <mergeCell ref="D49:G49"/>
    <mergeCell ref="H51:I51"/>
    <mergeCell ref="A49:C55"/>
    <mergeCell ref="D52:G52"/>
    <mergeCell ref="D53:G53"/>
    <mergeCell ref="D54:E54"/>
    <mergeCell ref="D55:G55"/>
    <mergeCell ref="H55:I55"/>
    <mergeCell ref="H54:I54"/>
    <mergeCell ref="H53:I53"/>
    <mergeCell ref="H52:I52"/>
    <mergeCell ref="H50:I50"/>
    <mergeCell ref="F37:G37"/>
    <mergeCell ref="B44:E44"/>
    <mergeCell ref="F44:G44"/>
    <mergeCell ref="F38:G38"/>
    <mergeCell ref="B38:E38"/>
    <mergeCell ref="H41:I41"/>
    <mergeCell ref="H40:I40"/>
    <mergeCell ref="H39:I39"/>
    <mergeCell ref="B41:E41"/>
    <mergeCell ref="F41:G41"/>
    <mergeCell ref="B39:E39"/>
    <mergeCell ref="F39:G39"/>
    <mergeCell ref="B40:E40"/>
    <mergeCell ref="F40:G40"/>
    <mergeCell ref="H45:I45"/>
    <mergeCell ref="H44:I44"/>
    <mergeCell ref="H43:I43"/>
    <mergeCell ref="H42:I42"/>
    <mergeCell ref="H49:I49"/>
    <mergeCell ref="A48:I48"/>
    <mergeCell ref="D46:E46"/>
    <mergeCell ref="A45:B45"/>
    <mergeCell ref="C45:E45"/>
    <mergeCell ref="F46:G46"/>
    <mergeCell ref="H46:I46"/>
    <mergeCell ref="B42:E42"/>
    <mergeCell ref="F42:G42"/>
    <mergeCell ref="F45:G45"/>
    <mergeCell ref="B43:E43"/>
    <mergeCell ref="F43:G43"/>
    <mergeCell ref="A17:I22"/>
    <mergeCell ref="H35:I35"/>
    <mergeCell ref="H34:I34"/>
    <mergeCell ref="H33:I33"/>
    <mergeCell ref="H32:I32"/>
    <mergeCell ref="H31:I31"/>
    <mergeCell ref="H30:I30"/>
    <mergeCell ref="B31:E31"/>
    <mergeCell ref="F31:G31"/>
    <mergeCell ref="B32:E32"/>
    <mergeCell ref="F32:G32"/>
    <mergeCell ref="B29:E29"/>
    <mergeCell ref="B30:E30"/>
    <mergeCell ref="H29:I29"/>
    <mergeCell ref="B33:E33"/>
    <mergeCell ref="F33:G33"/>
    <mergeCell ref="F29:G29"/>
    <mergeCell ref="F30:G30"/>
    <mergeCell ref="H38:I38"/>
    <mergeCell ref="H37:I37"/>
    <mergeCell ref="B24:I24"/>
    <mergeCell ref="H36:I36"/>
    <mergeCell ref="B34:E34"/>
    <mergeCell ref="F34:G34"/>
    <mergeCell ref="B35:E35"/>
    <mergeCell ref="F35:G35"/>
    <mergeCell ref="B36:E36"/>
    <mergeCell ref="F36:G36"/>
    <mergeCell ref="B27:I27"/>
    <mergeCell ref="B25:I25"/>
    <mergeCell ref="B26:I26"/>
    <mergeCell ref="B37:E37"/>
  </mergeCells>
  <conditionalFormatting sqref="A49:C55">
    <cfRule type="expression" dxfId="18" priority="4">
      <formula>IF($G$1="PURCHASE ORDER",$H$51&gt;200000,$H$51&gt;500000)</formula>
    </cfRule>
  </conditionalFormatting>
  <conditionalFormatting sqref="A45:E45">
    <cfRule type="expression" dxfId="17" priority="5">
      <formula>IF($G$1="SUBCONTRACT",TRUE)</formula>
    </cfRule>
  </conditionalFormatting>
  <dataValidations count="2">
    <dataValidation operator="equal" allowBlank="1" showInputMessage="1" showErrorMessage="1" sqref="I4" xr:uid="{00000000-0002-0000-0500-000000000000}"/>
    <dataValidation type="textLength" operator="equal" allowBlank="1" showInputMessage="1" showErrorMessage="1" sqref="I2" xr:uid="{00000000-0002-0000-0500-000001000000}">
      <formula1>11</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231" r:id="rId4" name="CommandButton2">
          <controlPr defaultSize="0" autoLine="0" r:id="rId5">
            <anchor moveWithCells="1">
              <from>
                <xdr:col>9</xdr:col>
                <xdr:colOff>47625</xdr:colOff>
                <xdr:row>28</xdr:row>
                <xdr:rowOff>19050</xdr:rowOff>
              </from>
              <to>
                <xdr:col>11</xdr:col>
                <xdr:colOff>419100</xdr:colOff>
                <xdr:row>30</xdr:row>
                <xdr:rowOff>85725</xdr:rowOff>
              </to>
            </anchor>
          </controlPr>
        </control>
      </mc:Choice>
      <mc:Fallback>
        <control shapeId="9231" r:id="rId4" name="CommandButton2"/>
      </mc:Fallback>
    </mc:AlternateContent>
    <mc:AlternateContent xmlns:mc="http://schemas.openxmlformats.org/markup-compatibility/2006">
      <mc:Choice Requires="x14">
        <control shapeId="9217" r:id="rId6" name="CheckBox4">
          <controlPr defaultSize="0" autoLine="0" r:id="rId7">
            <anchor moveWithCells="1">
              <from>
                <xdr:col>0</xdr:col>
                <xdr:colOff>161925</xdr:colOff>
                <xdr:row>25</xdr:row>
                <xdr:rowOff>142875</xdr:rowOff>
              </from>
              <to>
                <xdr:col>0</xdr:col>
                <xdr:colOff>371475</xdr:colOff>
                <xdr:row>27</xdr:row>
                <xdr:rowOff>66675</xdr:rowOff>
              </to>
            </anchor>
          </controlPr>
        </control>
      </mc:Choice>
      <mc:Fallback>
        <control shapeId="9217" r:id="rId6" name="CheckBox4"/>
      </mc:Fallback>
    </mc:AlternateContent>
    <mc:AlternateContent xmlns:mc="http://schemas.openxmlformats.org/markup-compatibility/2006">
      <mc:Choice Requires="x14">
        <control shapeId="9218" r:id="rId8" name="CheckBox1">
          <controlPr defaultSize="0" autoLine="0" r:id="rId9">
            <anchor moveWithCells="1">
              <from>
                <xdr:col>0</xdr:col>
                <xdr:colOff>161925</xdr:colOff>
                <xdr:row>23</xdr:row>
                <xdr:rowOff>19050</xdr:rowOff>
              </from>
              <to>
                <xdr:col>0</xdr:col>
                <xdr:colOff>361950</xdr:colOff>
                <xdr:row>24</xdr:row>
                <xdr:rowOff>0</xdr:rowOff>
              </to>
            </anchor>
          </controlPr>
        </control>
      </mc:Choice>
      <mc:Fallback>
        <control shapeId="9218" r:id="rId8" name="CheckBox1"/>
      </mc:Fallback>
    </mc:AlternateContent>
    <mc:AlternateContent xmlns:mc="http://schemas.openxmlformats.org/markup-compatibility/2006">
      <mc:Choice Requires="x14">
        <control shapeId="9219" r:id="rId10" name="CheckBox2">
          <controlPr defaultSize="0" autoLine="0" r:id="rId9">
            <anchor moveWithCells="1">
              <from>
                <xdr:col>0</xdr:col>
                <xdr:colOff>161925</xdr:colOff>
                <xdr:row>24</xdr:row>
                <xdr:rowOff>19050</xdr:rowOff>
              </from>
              <to>
                <xdr:col>0</xdr:col>
                <xdr:colOff>361950</xdr:colOff>
                <xdr:row>25</xdr:row>
                <xdr:rowOff>0</xdr:rowOff>
              </to>
            </anchor>
          </controlPr>
        </control>
      </mc:Choice>
      <mc:Fallback>
        <control shapeId="9219" r:id="rId10" name="CheckBox2"/>
      </mc:Fallback>
    </mc:AlternateContent>
    <mc:AlternateContent xmlns:mc="http://schemas.openxmlformats.org/markup-compatibility/2006">
      <mc:Choice Requires="x14">
        <control shapeId="9220" r:id="rId11" name="CheckBox3">
          <controlPr defaultSize="0" autoLine="0" r:id="rId9">
            <anchor moveWithCells="1">
              <from>
                <xdr:col>0</xdr:col>
                <xdr:colOff>161925</xdr:colOff>
                <xdr:row>25</xdr:row>
                <xdr:rowOff>19050</xdr:rowOff>
              </from>
              <to>
                <xdr:col>0</xdr:col>
                <xdr:colOff>361950</xdr:colOff>
                <xdr:row>26</xdr:row>
                <xdr:rowOff>0</xdr:rowOff>
              </to>
            </anchor>
          </controlPr>
        </control>
      </mc:Choice>
      <mc:Fallback>
        <control shapeId="9220" r:id="rId11" name="CheckBox3"/>
      </mc:Fallback>
    </mc:AlternateContent>
    <mc:AlternateContent xmlns:mc="http://schemas.openxmlformats.org/markup-compatibility/2006">
      <mc:Choice Requires="x14">
        <control shapeId="9228" r:id="rId12" name="CommandButton1">
          <controlPr autoLine="0" r:id="rId13">
            <anchor moveWithCells="1">
              <from>
                <xdr:col>9</xdr:col>
                <xdr:colOff>38100</xdr:colOff>
                <xdr:row>0</xdr:row>
                <xdr:rowOff>38100</xdr:rowOff>
              </from>
              <to>
                <xdr:col>11</xdr:col>
                <xdr:colOff>228600</xdr:colOff>
                <xdr:row>2</xdr:row>
                <xdr:rowOff>57150</xdr:rowOff>
              </to>
            </anchor>
          </controlPr>
        </control>
      </mc:Choice>
      <mc:Fallback>
        <control shapeId="9228" r:id="rId12" name="CommandButton1"/>
      </mc:Fallback>
    </mc:AlternateContent>
    <mc:AlternateContent xmlns:mc="http://schemas.openxmlformats.org/markup-compatibility/2006">
      <mc:Choice Requires="x14">
        <control shapeId="9233" r:id="rId14" name="Check Box 17">
          <controlPr defaultSize="0" autoFill="0" autoLine="0" autoPict="0">
            <anchor moveWithCells="1">
              <from>
                <xdr:col>6</xdr:col>
                <xdr:colOff>19050</xdr:colOff>
                <xdr:row>4</xdr:row>
                <xdr:rowOff>9525</xdr:rowOff>
              </from>
              <to>
                <xdr:col>6</xdr:col>
                <xdr:colOff>247650</xdr:colOff>
                <xdr:row>4</xdr:row>
                <xdr:rowOff>180975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2000000}">
          <x14:formula1>
            <xm:f>AutoFill!$C$13:$C$19</xm:f>
          </x14:formula1>
          <xm:sqref>G13:I13</xm:sqref>
        </x14:dataValidation>
        <x14:dataValidation type="list" allowBlank="1" showInputMessage="1" xr:uid="{00000000-0002-0000-0500-000003000000}">
          <x14:formula1>
            <xm:f>AutoFill!$B$13:$B$17</xm:f>
          </x14:formula1>
          <xm:sqref>C13:D13</xm:sqref>
        </x14:dataValidation>
        <x14:dataValidation type="list" allowBlank="1" showInputMessage="1" xr:uid="{00000000-0002-0000-0500-000004000000}">
          <x14:formula1>
            <xm:f>AutoFill!$D$6:$D$7</xm:f>
          </x14:formula1>
          <xm:sqref>G8:I8</xm:sqref>
        </x14:dataValidation>
        <x14:dataValidation type="list" operator="equal" allowBlank="1" showInputMessage="1" showErrorMessage="1" xr:uid="{00000000-0002-0000-0500-000005000000}">
          <x14:formula1>
            <xm:f>IF($G$1="PURCHASE ORDER", AutoFill!$A$14:$A$16, AutoFill!$A$13:$A$14)</xm:f>
          </x14:formula1>
          <xm:sqref>I5</xm:sqref>
        </x14:dataValidation>
        <x14:dataValidation type="list" operator="equal" allowBlank="1" showInputMessage="1" showErrorMessage="1" xr:uid="{00000000-0002-0000-0500-000006000000}">
          <x14:formula1>
            <xm:f>'CO Autofill'!$A:$A</xm:f>
          </x14:formula1>
          <xm:sqref>I3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N47"/>
  <sheetViews>
    <sheetView showGridLines="0" zoomScaleNormal="100" zoomScaleSheetLayoutView="85" zoomScalePageLayoutView="70" workbookViewId="0">
      <selection activeCell="H8" sqref="H8"/>
    </sheetView>
  </sheetViews>
  <sheetFormatPr defaultColWidth="0" defaultRowHeight="15" zeroHeight="1" x14ac:dyDescent="0.25"/>
  <cols>
    <col min="1" max="9" width="9.140625" customWidth="1"/>
    <col min="10" max="10" width="7.7109375" customWidth="1"/>
    <col min="11" max="11" width="8.85546875" style="89" customWidth="1"/>
    <col min="12" max="13" width="9.140625" style="89" customWidth="1"/>
    <col min="14" max="14" width="6.7109375" style="89" customWidth="1"/>
    <col min="15" max="16384" width="9.140625" hidden="1"/>
  </cols>
  <sheetData>
    <row r="1" spans="1:11" ht="20.25" x14ac:dyDescent="0.25">
      <c r="A1" s="58">
        <v>1</v>
      </c>
      <c r="B1" s="169" t="s">
        <v>198</v>
      </c>
      <c r="C1" s="169"/>
      <c r="D1" s="169"/>
      <c r="E1" s="169"/>
      <c r="F1" s="169"/>
      <c r="G1" s="169"/>
      <c r="H1" s="169"/>
      <c r="I1" s="169"/>
      <c r="J1" s="169"/>
      <c r="K1" s="88"/>
    </row>
    <row r="2" spans="1:11" ht="20.25" x14ac:dyDescent="0.25">
      <c r="A2" s="58">
        <v>2</v>
      </c>
      <c r="B2" s="169" t="s">
        <v>173</v>
      </c>
      <c r="C2" s="169"/>
      <c r="D2" s="169"/>
      <c r="E2" s="169"/>
      <c r="F2" s="169"/>
      <c r="G2" s="169"/>
      <c r="H2" s="169"/>
      <c r="I2" s="169"/>
      <c r="J2" s="169"/>
      <c r="K2" s="88"/>
    </row>
    <row r="3" spans="1:11" x14ac:dyDescent="0.25">
      <c r="A3" s="58">
        <v>3</v>
      </c>
      <c r="B3" s="59"/>
      <c r="C3" s="59"/>
      <c r="D3" s="59"/>
      <c r="E3" s="59"/>
      <c r="F3" s="59"/>
      <c r="G3" s="59"/>
      <c r="H3" s="59"/>
      <c r="I3" s="59"/>
      <c r="J3" s="59"/>
      <c r="K3" s="88"/>
    </row>
    <row r="4" spans="1:11" x14ac:dyDescent="0.25">
      <c r="A4" s="58">
        <v>4</v>
      </c>
      <c r="B4" s="170" t="s">
        <v>165</v>
      </c>
      <c r="C4" s="170"/>
      <c r="D4" s="170"/>
      <c r="E4" s="170" t="str">
        <f>'PO Cover'!I2</f>
        <v>000000-S-0000</v>
      </c>
      <c r="F4" s="170"/>
      <c r="G4" s="170"/>
      <c r="H4" s="170"/>
      <c r="I4" s="170"/>
      <c r="J4" s="170"/>
      <c r="K4" s="88"/>
    </row>
    <row r="5" spans="1:11" x14ac:dyDescent="0.25">
      <c r="A5" s="58">
        <v>5</v>
      </c>
      <c r="B5" s="170" t="s">
        <v>166</v>
      </c>
      <c r="C5" s="170"/>
      <c r="D5" s="170"/>
      <c r="E5" s="171" t="str">
        <f>'Change Order'!I3</f>
        <v>CO#</v>
      </c>
      <c r="F5" s="171"/>
      <c r="G5" s="171"/>
      <c r="H5" s="171"/>
      <c r="I5" s="171"/>
      <c r="J5" s="171"/>
      <c r="K5" s="88"/>
    </row>
    <row r="6" spans="1:11" x14ac:dyDescent="0.25">
      <c r="A6" s="58">
        <v>6</v>
      </c>
      <c r="B6" s="59"/>
      <c r="C6" s="59"/>
      <c r="D6" s="59"/>
      <c r="E6" s="59"/>
      <c r="F6" s="59"/>
      <c r="G6" s="59"/>
      <c r="H6" s="59"/>
      <c r="I6" s="59"/>
      <c r="J6" s="59"/>
      <c r="K6" s="88"/>
    </row>
    <row r="7" spans="1:11" x14ac:dyDescent="0.25">
      <c r="A7" s="58">
        <v>7</v>
      </c>
      <c r="B7" s="168" t="s">
        <v>167</v>
      </c>
      <c r="C7" s="168"/>
      <c r="D7" s="168"/>
      <c r="E7" s="168"/>
      <c r="F7" s="168"/>
      <c r="G7" s="168"/>
      <c r="H7" s="168"/>
      <c r="I7" s="168"/>
      <c r="J7" s="168"/>
      <c r="K7" s="88"/>
    </row>
    <row r="8" spans="1:11" x14ac:dyDescent="0.25">
      <c r="A8" s="58">
        <v>8</v>
      </c>
      <c r="B8" s="59"/>
      <c r="C8" s="59"/>
      <c r="D8" s="59"/>
      <c r="E8" s="59"/>
      <c r="F8" s="59"/>
      <c r="G8" s="59"/>
      <c r="H8" s="59"/>
      <c r="I8" s="59"/>
      <c r="J8" s="59"/>
      <c r="K8" s="88"/>
    </row>
    <row r="9" spans="1:11" x14ac:dyDescent="0.25">
      <c r="A9" s="58">
        <v>9</v>
      </c>
      <c r="B9" s="60" t="s">
        <v>168</v>
      </c>
      <c r="C9" s="59"/>
      <c r="D9" s="59"/>
      <c r="E9" s="59"/>
      <c r="F9" s="59"/>
      <c r="G9" s="59"/>
      <c r="H9" s="59"/>
      <c r="I9" s="59"/>
      <c r="J9" s="59"/>
      <c r="K9" s="88"/>
    </row>
    <row r="10" spans="1:11" x14ac:dyDescent="0.25">
      <c r="A10" s="58">
        <v>10</v>
      </c>
      <c r="B10" s="59" t="s">
        <v>169</v>
      </c>
      <c r="C10" s="59"/>
      <c r="D10" s="59"/>
      <c r="E10" s="59"/>
      <c r="F10" s="59"/>
      <c r="G10" s="59"/>
      <c r="H10" s="59"/>
      <c r="I10" s="59"/>
      <c r="J10" s="59"/>
      <c r="K10" s="88"/>
    </row>
    <row r="11" spans="1:11" ht="15" customHeight="1" x14ac:dyDescent="0.25">
      <c r="A11" s="58">
        <v>11</v>
      </c>
      <c r="B11" s="167" t="e">
        <f>VLOOKUP(E5,Table12[],54,FALSE)</f>
        <v>#N/A</v>
      </c>
      <c r="C11" s="167"/>
      <c r="D11" s="167"/>
      <c r="E11" s="167"/>
      <c r="F11" s="167"/>
      <c r="G11" s="167"/>
      <c r="H11" s="167"/>
      <c r="I11" s="167"/>
      <c r="J11" s="167"/>
      <c r="K11" s="88"/>
    </row>
    <row r="12" spans="1:11" ht="15" customHeight="1" x14ac:dyDescent="0.25">
      <c r="A12" s="58">
        <v>12</v>
      </c>
      <c r="B12" s="167"/>
      <c r="C12" s="167"/>
      <c r="D12" s="167"/>
      <c r="E12" s="167"/>
      <c r="F12" s="167"/>
      <c r="G12" s="167"/>
      <c r="H12" s="167"/>
      <c r="I12" s="167"/>
      <c r="J12" s="167"/>
      <c r="K12" s="88"/>
    </row>
    <row r="13" spans="1:11" x14ac:dyDescent="0.25">
      <c r="A13" s="58">
        <v>13</v>
      </c>
      <c r="B13" s="167"/>
      <c r="C13" s="167"/>
      <c r="D13" s="167"/>
      <c r="E13" s="167"/>
      <c r="F13" s="167"/>
      <c r="G13" s="167"/>
      <c r="H13" s="167"/>
      <c r="I13" s="167"/>
      <c r="J13" s="167"/>
      <c r="K13" s="88"/>
    </row>
    <row r="14" spans="1:11" x14ac:dyDescent="0.25">
      <c r="A14" s="58">
        <v>14</v>
      </c>
      <c r="B14" s="167"/>
      <c r="C14" s="167"/>
      <c r="D14" s="167"/>
      <c r="E14" s="167"/>
      <c r="F14" s="167"/>
      <c r="G14" s="167"/>
      <c r="H14" s="167"/>
      <c r="I14" s="167"/>
      <c r="J14" s="167"/>
      <c r="K14" s="88"/>
    </row>
    <row r="15" spans="1:11" x14ac:dyDescent="0.25">
      <c r="A15" s="58">
        <v>15</v>
      </c>
      <c r="B15" s="167"/>
      <c r="C15" s="167"/>
      <c r="D15" s="167"/>
      <c r="E15" s="167"/>
      <c r="F15" s="167"/>
      <c r="G15" s="167"/>
      <c r="H15" s="167"/>
      <c r="I15" s="167"/>
      <c r="J15" s="167"/>
      <c r="K15" s="88"/>
    </row>
    <row r="16" spans="1:11" x14ac:dyDescent="0.25">
      <c r="A16" s="58">
        <v>16</v>
      </c>
      <c r="B16" s="167"/>
      <c r="C16" s="167"/>
      <c r="D16" s="167"/>
      <c r="E16" s="167"/>
      <c r="F16" s="167"/>
      <c r="G16" s="167"/>
      <c r="H16" s="167"/>
      <c r="I16" s="167"/>
      <c r="J16" s="167"/>
      <c r="K16" s="88"/>
    </row>
    <row r="17" spans="1:11" x14ac:dyDescent="0.25">
      <c r="A17" s="58">
        <v>17</v>
      </c>
      <c r="B17" s="167"/>
      <c r="C17" s="167"/>
      <c r="D17" s="167"/>
      <c r="E17" s="167"/>
      <c r="F17" s="167"/>
      <c r="G17" s="167"/>
      <c r="H17" s="167"/>
      <c r="I17" s="167"/>
      <c r="J17" s="167"/>
      <c r="K17" s="88"/>
    </row>
    <row r="18" spans="1:11" x14ac:dyDescent="0.25">
      <c r="A18" s="58">
        <v>18</v>
      </c>
      <c r="B18" s="167"/>
      <c r="C18" s="167"/>
      <c r="D18" s="167"/>
      <c r="E18" s="167"/>
      <c r="F18" s="167"/>
      <c r="G18" s="167"/>
      <c r="H18" s="167"/>
      <c r="I18" s="167"/>
      <c r="J18" s="167"/>
      <c r="K18" s="88"/>
    </row>
    <row r="19" spans="1:11" x14ac:dyDescent="0.25">
      <c r="A19" s="58">
        <v>19</v>
      </c>
      <c r="B19" s="167"/>
      <c r="C19" s="167"/>
      <c r="D19" s="167"/>
      <c r="E19" s="167"/>
      <c r="F19" s="167"/>
      <c r="G19" s="167"/>
      <c r="H19" s="167"/>
      <c r="I19" s="167"/>
      <c r="J19" s="167"/>
      <c r="K19" s="88"/>
    </row>
    <row r="20" spans="1:11" x14ac:dyDescent="0.25">
      <c r="A20" s="58">
        <v>20</v>
      </c>
      <c r="B20" s="167"/>
      <c r="C20" s="167"/>
      <c r="D20" s="167"/>
      <c r="E20" s="167"/>
      <c r="F20" s="167"/>
      <c r="G20" s="167"/>
      <c r="H20" s="167"/>
      <c r="I20" s="167"/>
      <c r="J20" s="167"/>
      <c r="K20" s="88"/>
    </row>
    <row r="21" spans="1:11" x14ac:dyDescent="0.25">
      <c r="A21" s="58">
        <v>21</v>
      </c>
      <c r="B21" s="167"/>
      <c r="C21" s="167"/>
      <c r="D21" s="167"/>
      <c r="E21" s="167"/>
      <c r="F21" s="167"/>
      <c r="G21" s="167"/>
      <c r="H21" s="167"/>
      <c r="I21" s="167"/>
      <c r="J21" s="167"/>
      <c r="K21" s="88"/>
    </row>
    <row r="22" spans="1:11" x14ac:dyDescent="0.25">
      <c r="A22" s="58">
        <v>22</v>
      </c>
      <c r="B22" s="167"/>
      <c r="C22" s="167"/>
      <c r="D22" s="167"/>
      <c r="E22" s="167"/>
      <c r="F22" s="167"/>
      <c r="G22" s="167"/>
      <c r="H22" s="167"/>
      <c r="I22" s="167"/>
      <c r="J22" s="167"/>
      <c r="K22" s="88"/>
    </row>
    <row r="23" spans="1:11" x14ac:dyDescent="0.25">
      <c r="A23" s="58">
        <v>23</v>
      </c>
      <c r="B23" s="167"/>
      <c r="C23" s="167"/>
      <c r="D23" s="167"/>
      <c r="E23" s="167"/>
      <c r="F23" s="167"/>
      <c r="G23" s="167"/>
      <c r="H23" s="167"/>
      <c r="I23" s="167"/>
      <c r="J23" s="167"/>
      <c r="K23" s="88"/>
    </row>
    <row r="24" spans="1:11" x14ac:dyDescent="0.25">
      <c r="A24" s="58">
        <v>24</v>
      </c>
      <c r="B24" s="167"/>
      <c r="C24" s="167"/>
      <c r="D24" s="167"/>
      <c r="E24" s="167"/>
      <c r="F24" s="167"/>
      <c r="G24" s="167"/>
      <c r="H24" s="167"/>
      <c r="I24" s="167"/>
      <c r="J24" s="167"/>
      <c r="K24" s="88"/>
    </row>
    <row r="25" spans="1:11" x14ac:dyDescent="0.25">
      <c r="A25" s="58">
        <v>25</v>
      </c>
      <c r="K25" s="88"/>
    </row>
    <row r="26" spans="1:11" x14ac:dyDescent="0.25">
      <c r="A26" s="58">
        <v>26</v>
      </c>
      <c r="K26" s="88"/>
    </row>
    <row r="27" spans="1:11" x14ac:dyDescent="0.25">
      <c r="A27" s="58">
        <v>27</v>
      </c>
      <c r="B27" s="168" t="s">
        <v>170</v>
      </c>
      <c r="C27" s="168"/>
      <c r="D27" s="168"/>
      <c r="E27" s="168"/>
      <c r="F27" s="168"/>
      <c r="G27" s="168"/>
      <c r="H27" s="168"/>
      <c r="I27" s="168"/>
      <c r="J27" s="168"/>
      <c r="K27" s="88"/>
    </row>
    <row r="28" spans="1:11" x14ac:dyDescent="0.25">
      <c r="A28" s="58">
        <v>28</v>
      </c>
      <c r="K28" s="88"/>
    </row>
    <row r="29" spans="1:11" x14ac:dyDescent="0.25">
      <c r="A29" s="58">
        <v>29</v>
      </c>
      <c r="B29" s="60" t="s">
        <v>171</v>
      </c>
      <c r="K29" s="88"/>
    </row>
    <row r="30" spans="1:11" x14ac:dyDescent="0.25">
      <c r="A30" s="58">
        <v>30</v>
      </c>
      <c r="B30" s="167" t="e">
        <f>VLOOKUP(E5,Table12[],55,FALSE)</f>
        <v>#N/A</v>
      </c>
      <c r="C30" s="167"/>
      <c r="D30" s="167"/>
      <c r="E30" s="167"/>
      <c r="F30" s="167"/>
      <c r="G30" s="167"/>
      <c r="H30" s="167"/>
      <c r="I30" s="167"/>
      <c r="J30" s="167"/>
      <c r="K30" s="88"/>
    </row>
    <row r="31" spans="1:11" x14ac:dyDescent="0.25">
      <c r="A31" s="58">
        <v>31</v>
      </c>
      <c r="B31" s="167"/>
      <c r="C31" s="167"/>
      <c r="D31" s="167"/>
      <c r="E31" s="167"/>
      <c r="F31" s="167"/>
      <c r="G31" s="167"/>
      <c r="H31" s="167"/>
      <c r="I31" s="167"/>
      <c r="J31" s="167"/>
      <c r="K31" s="88"/>
    </row>
    <row r="32" spans="1:11" x14ac:dyDescent="0.25">
      <c r="A32" s="58">
        <v>32</v>
      </c>
      <c r="B32" s="167"/>
      <c r="C32" s="167"/>
      <c r="D32" s="167"/>
      <c r="E32" s="167"/>
      <c r="F32" s="167"/>
      <c r="G32" s="167"/>
      <c r="H32" s="167"/>
      <c r="I32" s="167"/>
      <c r="J32" s="167"/>
      <c r="K32" s="88"/>
    </row>
    <row r="33" spans="1:11" x14ac:dyDescent="0.25">
      <c r="A33" s="58">
        <v>33</v>
      </c>
      <c r="B33" s="167"/>
      <c r="C33" s="167"/>
      <c r="D33" s="167"/>
      <c r="E33" s="167"/>
      <c r="F33" s="167"/>
      <c r="G33" s="167"/>
      <c r="H33" s="167"/>
      <c r="I33" s="167"/>
      <c r="J33" s="167"/>
      <c r="K33" s="88"/>
    </row>
    <row r="34" spans="1:11" x14ac:dyDescent="0.25">
      <c r="A34" s="58">
        <v>34</v>
      </c>
      <c r="B34" s="167"/>
      <c r="C34" s="167"/>
      <c r="D34" s="167"/>
      <c r="E34" s="167"/>
      <c r="F34" s="167"/>
      <c r="G34" s="167"/>
      <c r="H34" s="167"/>
      <c r="I34" s="167"/>
      <c r="J34" s="167"/>
      <c r="K34" s="88"/>
    </row>
    <row r="35" spans="1:11" x14ac:dyDescent="0.25">
      <c r="A35" s="58">
        <v>35</v>
      </c>
      <c r="B35" s="167"/>
      <c r="C35" s="167"/>
      <c r="D35" s="167"/>
      <c r="E35" s="167"/>
      <c r="F35" s="167"/>
      <c r="G35" s="167"/>
      <c r="H35" s="167"/>
      <c r="I35" s="167"/>
      <c r="J35" s="167"/>
      <c r="K35" s="88"/>
    </row>
    <row r="36" spans="1:11" x14ac:dyDescent="0.25">
      <c r="A36" s="58">
        <v>36</v>
      </c>
      <c r="B36" s="167"/>
      <c r="C36" s="167"/>
      <c r="D36" s="167"/>
      <c r="E36" s="167"/>
      <c r="F36" s="167"/>
      <c r="G36" s="167"/>
      <c r="H36" s="167"/>
      <c r="I36" s="167"/>
      <c r="J36" s="167"/>
      <c r="K36" s="88"/>
    </row>
    <row r="37" spans="1:11" x14ac:dyDescent="0.25">
      <c r="A37" s="58">
        <v>37</v>
      </c>
      <c r="B37" s="167"/>
      <c r="C37" s="167"/>
      <c r="D37" s="167"/>
      <c r="E37" s="167"/>
      <c r="F37" s="167"/>
      <c r="G37" s="167"/>
      <c r="H37" s="167"/>
      <c r="I37" s="167"/>
      <c r="J37" s="167"/>
      <c r="K37" s="88"/>
    </row>
    <row r="38" spans="1:11" ht="15" customHeight="1" x14ac:dyDescent="0.25">
      <c r="A38" s="58">
        <v>38</v>
      </c>
      <c r="B38" s="167"/>
      <c r="C38" s="167"/>
      <c r="D38" s="167"/>
      <c r="E38" s="167"/>
      <c r="F38" s="167"/>
      <c r="G38" s="167"/>
      <c r="H38" s="167"/>
      <c r="I38" s="167"/>
      <c r="J38" s="167"/>
      <c r="K38" s="88"/>
    </row>
    <row r="39" spans="1:11" x14ac:dyDescent="0.25">
      <c r="A39" s="58">
        <v>39</v>
      </c>
      <c r="B39" s="167"/>
      <c r="C39" s="167"/>
      <c r="D39" s="167"/>
      <c r="E39" s="167"/>
      <c r="F39" s="167"/>
      <c r="G39" s="167"/>
      <c r="H39" s="167"/>
      <c r="I39" s="167"/>
      <c r="J39" s="167"/>
      <c r="K39" s="88"/>
    </row>
    <row r="40" spans="1:11" x14ac:dyDescent="0.25">
      <c r="A40" s="58">
        <v>40</v>
      </c>
      <c r="B40" s="167"/>
      <c r="C40" s="167"/>
      <c r="D40" s="167"/>
      <c r="E40" s="167"/>
      <c r="F40" s="167"/>
      <c r="G40" s="167"/>
      <c r="H40" s="167"/>
      <c r="I40" s="167"/>
      <c r="J40" s="167"/>
      <c r="K40" s="88"/>
    </row>
    <row r="41" spans="1:11" x14ac:dyDescent="0.25">
      <c r="A41" s="58">
        <v>41</v>
      </c>
      <c r="B41" s="167"/>
      <c r="C41" s="167"/>
      <c r="D41" s="167"/>
      <c r="E41" s="167"/>
      <c r="F41" s="167"/>
      <c r="G41" s="167"/>
      <c r="H41" s="167"/>
      <c r="I41" s="167"/>
      <c r="J41" s="167"/>
      <c r="K41" s="88"/>
    </row>
    <row r="42" spans="1:11" x14ac:dyDescent="0.25">
      <c r="A42" s="58">
        <v>42</v>
      </c>
      <c r="B42" s="167"/>
      <c r="C42" s="167"/>
      <c r="D42" s="167"/>
      <c r="E42" s="167"/>
      <c r="F42" s="167"/>
      <c r="G42" s="167"/>
      <c r="H42" s="167"/>
      <c r="I42" s="167"/>
      <c r="J42" s="167"/>
      <c r="K42" s="88"/>
    </row>
    <row r="43" spans="1:11" x14ac:dyDescent="0.25">
      <c r="A43" s="58">
        <v>43</v>
      </c>
      <c r="B43" s="167"/>
      <c r="C43" s="167"/>
      <c r="D43" s="167"/>
      <c r="E43" s="167"/>
      <c r="F43" s="167"/>
      <c r="G43" s="167"/>
      <c r="H43" s="167"/>
      <c r="I43" s="167"/>
      <c r="J43" s="167"/>
      <c r="K43" s="88"/>
    </row>
    <row r="44" spans="1:11" x14ac:dyDescent="0.25">
      <c r="A44" s="58">
        <v>44</v>
      </c>
      <c r="B44" s="167"/>
      <c r="C44" s="167"/>
      <c r="D44" s="167"/>
      <c r="E44" s="167"/>
      <c r="F44" s="167"/>
      <c r="G44" s="167"/>
      <c r="H44" s="167"/>
      <c r="I44" s="167"/>
      <c r="J44" s="167"/>
      <c r="K44" s="88"/>
    </row>
    <row r="45" spans="1:11" x14ac:dyDescent="0.25">
      <c r="A45" s="58">
        <v>45</v>
      </c>
      <c r="B45" s="167"/>
      <c r="C45" s="167"/>
      <c r="D45" s="167"/>
      <c r="E45" s="167"/>
      <c r="F45" s="167"/>
      <c r="G45" s="167"/>
      <c r="H45" s="167"/>
      <c r="I45" s="167"/>
      <c r="J45" s="167"/>
      <c r="K45" s="88"/>
    </row>
    <row r="46" spans="1:11" x14ac:dyDescent="0.25">
      <c r="A46" s="58">
        <v>46</v>
      </c>
      <c r="B46" s="167"/>
      <c r="C46" s="167"/>
      <c r="D46" s="167"/>
      <c r="E46" s="167"/>
      <c r="F46" s="167"/>
      <c r="G46" s="167"/>
      <c r="H46" s="167"/>
      <c r="I46" s="167"/>
      <c r="J46" s="167"/>
      <c r="K46" s="88"/>
    </row>
    <row r="47" spans="1:11" hidden="1" x14ac:dyDescent="0.25">
      <c r="A47" s="58"/>
      <c r="B47" s="59"/>
      <c r="C47" s="59"/>
      <c r="D47" s="59"/>
      <c r="E47" s="59"/>
      <c r="F47" s="59"/>
      <c r="G47" s="59"/>
      <c r="H47" s="59"/>
      <c r="I47" s="59"/>
      <c r="J47" s="59"/>
      <c r="K47" s="88"/>
    </row>
  </sheetData>
  <sheetProtection sheet="1" objects="1" scenarios="1" formatCells="0" formatColumns="0" formatRows="0" selectLockedCells="1"/>
  <mergeCells count="10">
    <mergeCell ref="B30:J46"/>
    <mergeCell ref="B11:J24"/>
    <mergeCell ref="B7:J7"/>
    <mergeCell ref="B27:J27"/>
    <mergeCell ref="B1:J1"/>
    <mergeCell ref="B2:J2"/>
    <mergeCell ref="B4:D4"/>
    <mergeCell ref="E4:J4"/>
    <mergeCell ref="B5:D5"/>
    <mergeCell ref="E5:J5"/>
  </mergeCells>
  <pageMargins left="0.7" right="0.7" top="0.75" bottom="0.75" header="0.3" footer="0.3"/>
  <pageSetup orientation="portrait" r:id="rId1"/>
  <headerFooter>
    <oddHeader>&amp;LBurns Mechanical, Inc.&amp;RRiders A - B</oddHeader>
    <oddFooter>&amp;CPage &amp;P of &amp;N</oddFooter>
  </headerFooter>
  <drawing r:id="rId2"/>
  <legacyDrawing r:id="rId3"/>
  <controls>
    <mc:AlternateContent xmlns:mc="http://schemas.openxmlformats.org/markup-compatibility/2006">
      <mc:Choice Requires="x14">
        <control shapeId="14337" r:id="rId4" name="CommandButton1">
          <controlPr defaultSize="0" autoLine="0" r:id="rId5">
            <anchor moveWithCells="1">
              <from>
                <xdr:col>10</xdr:col>
                <xdr:colOff>66675</xdr:colOff>
                <xdr:row>0</xdr:row>
                <xdr:rowOff>28575</xdr:rowOff>
              </from>
              <to>
                <xdr:col>13</xdr:col>
                <xdr:colOff>361950</xdr:colOff>
                <xdr:row>2</xdr:row>
                <xdr:rowOff>9525</xdr:rowOff>
              </to>
            </anchor>
          </controlPr>
        </control>
      </mc:Choice>
      <mc:Fallback>
        <control shapeId="14337" r:id="rId4" name="CommandButto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47"/>
  <sheetViews>
    <sheetView showGridLines="0" zoomScale="85" zoomScaleNormal="85" workbookViewId="0">
      <selection activeCell="D46" sqref="D46"/>
    </sheetView>
  </sheetViews>
  <sheetFormatPr defaultColWidth="0" defaultRowHeight="15" zeroHeight="1" x14ac:dyDescent="0.25"/>
  <cols>
    <col min="1" max="1" width="9.42578125" customWidth="1"/>
    <col min="2" max="2" width="45.5703125" customWidth="1"/>
    <col min="3" max="3" width="14.140625" customWidth="1"/>
    <col min="4" max="4" width="21.140625" customWidth="1"/>
    <col min="5" max="5" width="9.140625" hidden="1" customWidth="1"/>
    <col min="6" max="16384" width="9.140625" hidden="1"/>
  </cols>
  <sheetData>
    <row r="1" spans="1:9" x14ac:dyDescent="0.25">
      <c r="A1" s="54" t="str">
        <f>'PO Cover'!H1</f>
        <v>SUBCONTRACT</v>
      </c>
      <c r="B1" s="1"/>
      <c r="C1" s="1"/>
      <c r="D1" s="1"/>
    </row>
    <row r="2" spans="1:9" ht="20.25" x14ac:dyDescent="0.3">
      <c r="A2" s="130" t="s">
        <v>161</v>
      </c>
      <c r="B2" s="130"/>
      <c r="C2" s="130"/>
      <c r="D2" s="130"/>
    </row>
    <row r="3" spans="1:9" x14ac:dyDescent="0.25">
      <c r="A3" s="1"/>
      <c r="B3" s="1"/>
      <c r="C3" s="1"/>
      <c r="D3" s="1"/>
    </row>
    <row r="4" spans="1:9" x14ac:dyDescent="0.25">
      <c r="A4" s="172" t="s">
        <v>162</v>
      </c>
      <c r="B4" s="172"/>
      <c r="C4" s="173" t="str">
        <f>'PO Cover'!I2</f>
        <v>000000-S-0000</v>
      </c>
      <c r="D4" s="173"/>
    </row>
    <row r="5" spans="1:9" hidden="1" x14ac:dyDescent="0.25">
      <c r="A5" s="172" t="str">
        <f>IF(A1= "SUBCONTRACT", "SUBCONTRACTOR", "VENDOR")</f>
        <v>SUBCONTRACTOR</v>
      </c>
      <c r="B5" s="172"/>
      <c r="C5" s="174" t="str">
        <f>'PO Cover'!B6</f>
        <v>&lt;Enter Company Name&gt;</v>
      </c>
      <c r="D5" s="174"/>
    </row>
    <row r="6" spans="1:9" x14ac:dyDescent="0.25">
      <c r="A6" s="1"/>
      <c r="B6" s="1"/>
      <c r="C6" s="1"/>
      <c r="D6" s="1"/>
    </row>
    <row r="7" spans="1:9" x14ac:dyDescent="0.25">
      <c r="A7" s="1"/>
      <c r="B7" s="1"/>
      <c r="C7" s="1"/>
      <c r="D7" s="1"/>
    </row>
    <row r="8" spans="1:9" x14ac:dyDescent="0.25">
      <c r="A8" s="55" t="s">
        <v>100</v>
      </c>
      <c r="B8" s="55" t="s">
        <v>30</v>
      </c>
      <c r="C8" s="55" t="s">
        <v>164</v>
      </c>
      <c r="D8" s="55" t="s">
        <v>101</v>
      </c>
      <c r="E8" s="40"/>
      <c r="F8" s="40"/>
      <c r="G8" s="40"/>
      <c r="I8" s="40"/>
    </row>
    <row r="9" spans="1:9" x14ac:dyDescent="0.25">
      <c r="A9" s="9">
        <f>'CO Autofill'!A2</f>
        <v>0</v>
      </c>
      <c r="B9" s="73">
        <f>'CO Autofill'!AZ2</f>
        <v>0</v>
      </c>
      <c r="C9" s="75" t="str">
        <f>IF('CO Autofill'!BA2 = "", "", 'CO Autofill'!BA2)</f>
        <v/>
      </c>
      <c r="D9" s="71">
        <f>'CO Autofill'!AY2</f>
        <v>0</v>
      </c>
    </row>
    <row r="10" spans="1:9" x14ac:dyDescent="0.25">
      <c r="A10" s="9">
        <f>'CO Autofill'!A3</f>
        <v>0</v>
      </c>
      <c r="B10" s="73">
        <f>'CO Autofill'!AZ3</f>
        <v>0</v>
      </c>
      <c r="C10" s="75" t="str">
        <f>IF('CO Autofill'!BA3 = "", "", 'CO Autofill'!BA3)</f>
        <v/>
      </c>
      <c r="D10" s="71">
        <f>'CO Autofill'!AY3</f>
        <v>0</v>
      </c>
    </row>
    <row r="11" spans="1:9" x14ac:dyDescent="0.25">
      <c r="A11" s="9">
        <f>'CO Autofill'!A4</f>
        <v>0</v>
      </c>
      <c r="B11" s="73">
        <f>'CO Autofill'!AZ4</f>
        <v>0</v>
      </c>
      <c r="C11" s="75" t="str">
        <f>IF('CO Autofill'!BA4 = "", "", 'CO Autofill'!BA4)</f>
        <v/>
      </c>
      <c r="D11" s="71">
        <f>'CO Autofill'!AY4</f>
        <v>0</v>
      </c>
    </row>
    <row r="12" spans="1:9" x14ac:dyDescent="0.25">
      <c r="A12" s="9">
        <f>'CO Autofill'!A5</f>
        <v>0</v>
      </c>
      <c r="B12" s="73">
        <f>'CO Autofill'!AZ5</f>
        <v>0</v>
      </c>
      <c r="C12" s="75" t="str">
        <f>IF('CO Autofill'!BA5 = "", "", 'CO Autofill'!BA5)</f>
        <v/>
      </c>
      <c r="D12" s="71">
        <f>'CO Autofill'!AY5</f>
        <v>0</v>
      </c>
    </row>
    <row r="13" spans="1:9" x14ac:dyDescent="0.25">
      <c r="A13" s="9">
        <f>'CO Autofill'!A6</f>
        <v>0</v>
      </c>
      <c r="B13" s="73">
        <f>'CO Autofill'!AZ6</f>
        <v>0</v>
      </c>
      <c r="C13" s="75" t="str">
        <f>IF('CO Autofill'!BA6 = "", "", 'CO Autofill'!BA6)</f>
        <v/>
      </c>
      <c r="D13" s="71">
        <f>'CO Autofill'!AY6</f>
        <v>0</v>
      </c>
    </row>
    <row r="14" spans="1:9" x14ac:dyDescent="0.25">
      <c r="A14" s="9">
        <f>'CO Autofill'!A7</f>
        <v>0</v>
      </c>
      <c r="B14" s="73">
        <f>'CO Autofill'!AZ7</f>
        <v>0</v>
      </c>
      <c r="C14" s="75" t="str">
        <f>IF('CO Autofill'!BA7 = "", "", 'CO Autofill'!BA7)</f>
        <v/>
      </c>
      <c r="D14" s="71">
        <f>'CO Autofill'!AY7</f>
        <v>0</v>
      </c>
    </row>
    <row r="15" spans="1:9" x14ac:dyDescent="0.25">
      <c r="A15" s="9">
        <f>'CO Autofill'!A8</f>
        <v>0</v>
      </c>
      <c r="B15" s="73">
        <f>'CO Autofill'!AZ8</f>
        <v>0</v>
      </c>
      <c r="C15" s="75" t="str">
        <f>IF('CO Autofill'!BA8 = "", "", 'CO Autofill'!BA8)</f>
        <v/>
      </c>
      <c r="D15" s="71">
        <f>'CO Autofill'!AY8</f>
        <v>0</v>
      </c>
    </row>
    <row r="16" spans="1:9" x14ac:dyDescent="0.25">
      <c r="A16" s="9">
        <f>'CO Autofill'!A9</f>
        <v>0</v>
      </c>
      <c r="B16" s="73">
        <f>'CO Autofill'!AZ9</f>
        <v>0</v>
      </c>
      <c r="C16" s="75" t="str">
        <f>IF('CO Autofill'!BA9 = "", "", 'CO Autofill'!BA9)</f>
        <v/>
      </c>
      <c r="D16" s="71">
        <f>'CO Autofill'!AY9</f>
        <v>0</v>
      </c>
    </row>
    <row r="17" spans="1:4" x14ac:dyDescent="0.25">
      <c r="A17" s="9">
        <f>'CO Autofill'!A10</f>
        <v>0</v>
      </c>
      <c r="B17" s="73">
        <f>'CO Autofill'!AZ10</f>
        <v>0</v>
      </c>
      <c r="C17" s="75" t="str">
        <f>IF('CO Autofill'!BA10 = "", "", 'CO Autofill'!BA10)</f>
        <v/>
      </c>
      <c r="D17" s="71">
        <f>'CO Autofill'!AY10</f>
        <v>0</v>
      </c>
    </row>
    <row r="18" spans="1:4" x14ac:dyDescent="0.25">
      <c r="A18" s="9">
        <f>'CO Autofill'!A11</f>
        <v>0</v>
      </c>
      <c r="B18" s="73">
        <f>'CO Autofill'!AZ11</f>
        <v>0</v>
      </c>
      <c r="C18" s="75" t="str">
        <f>IF('CO Autofill'!BA11 = "", "", 'CO Autofill'!BA11)</f>
        <v/>
      </c>
      <c r="D18" s="71">
        <f>'CO Autofill'!AY11</f>
        <v>0</v>
      </c>
    </row>
    <row r="19" spans="1:4" x14ac:dyDescent="0.25">
      <c r="A19" s="9">
        <f>'CO Autofill'!A12</f>
        <v>0</v>
      </c>
      <c r="B19" s="73">
        <f>'CO Autofill'!AZ12</f>
        <v>0</v>
      </c>
      <c r="C19" s="75" t="str">
        <f>IF('CO Autofill'!BA12 = "", "", 'CO Autofill'!BA12)</f>
        <v/>
      </c>
      <c r="D19" s="71">
        <f>'CO Autofill'!AY12</f>
        <v>0</v>
      </c>
    </row>
    <row r="20" spans="1:4" x14ac:dyDescent="0.25">
      <c r="A20" s="9">
        <f>'CO Autofill'!A13</f>
        <v>0</v>
      </c>
      <c r="B20" s="73">
        <f>'CO Autofill'!AZ13</f>
        <v>0</v>
      </c>
      <c r="C20" s="75" t="str">
        <f>IF('CO Autofill'!BA13 = "", "", 'CO Autofill'!BA13)</f>
        <v/>
      </c>
      <c r="D20" s="71">
        <f>'CO Autofill'!AY13</f>
        <v>0</v>
      </c>
    </row>
    <row r="21" spans="1:4" x14ac:dyDescent="0.25">
      <c r="A21" s="9">
        <f>'CO Autofill'!A14</f>
        <v>0</v>
      </c>
      <c r="B21" s="73">
        <f>'CO Autofill'!AZ14</f>
        <v>0</v>
      </c>
      <c r="C21" s="75" t="str">
        <f>IF('CO Autofill'!BA14 = "", "", 'CO Autofill'!BA14)</f>
        <v/>
      </c>
      <c r="D21" s="71">
        <f>'CO Autofill'!AY14</f>
        <v>0</v>
      </c>
    </row>
    <row r="22" spans="1:4" x14ac:dyDescent="0.25">
      <c r="A22" s="9">
        <f>'CO Autofill'!A15</f>
        <v>0</v>
      </c>
      <c r="B22" s="73">
        <f>'CO Autofill'!AZ15</f>
        <v>0</v>
      </c>
      <c r="C22" s="75" t="str">
        <f>IF('CO Autofill'!BA15 = "", "", 'CO Autofill'!BA15)</f>
        <v/>
      </c>
      <c r="D22" s="71">
        <f>'CO Autofill'!AY15</f>
        <v>0</v>
      </c>
    </row>
    <row r="23" spans="1:4" x14ac:dyDescent="0.25">
      <c r="A23" s="9">
        <f>'CO Autofill'!A16</f>
        <v>0</v>
      </c>
      <c r="B23" s="73">
        <f>'CO Autofill'!AZ16</f>
        <v>0</v>
      </c>
      <c r="C23" s="75" t="str">
        <f>IF('CO Autofill'!BA16 = "", "", 'CO Autofill'!BA16)</f>
        <v/>
      </c>
      <c r="D23" s="71">
        <f>'CO Autofill'!AY16</f>
        <v>0</v>
      </c>
    </row>
    <row r="24" spans="1:4" x14ac:dyDescent="0.25">
      <c r="A24" s="9">
        <f>'CO Autofill'!A17</f>
        <v>0</v>
      </c>
      <c r="B24" s="73">
        <f>'CO Autofill'!AZ17</f>
        <v>0</v>
      </c>
      <c r="C24" s="75" t="str">
        <f>IF('CO Autofill'!BA17 = "", "", 'CO Autofill'!BA17)</f>
        <v/>
      </c>
      <c r="D24" s="71">
        <f>'CO Autofill'!AY17</f>
        <v>0</v>
      </c>
    </row>
    <row r="25" spans="1:4" x14ac:dyDescent="0.25">
      <c r="A25" s="9">
        <f>'CO Autofill'!A18</f>
        <v>0</v>
      </c>
      <c r="B25" s="73">
        <f>'CO Autofill'!AZ18</f>
        <v>0</v>
      </c>
      <c r="C25" s="75" t="str">
        <f>IF('CO Autofill'!BA18 = "", "", 'CO Autofill'!BA18)</f>
        <v/>
      </c>
      <c r="D25" s="71">
        <f>'CO Autofill'!AY18</f>
        <v>0</v>
      </c>
    </row>
    <row r="26" spans="1:4" x14ac:dyDescent="0.25">
      <c r="A26" s="9">
        <f>'CO Autofill'!A19</f>
        <v>0</v>
      </c>
      <c r="B26" s="73">
        <f>'CO Autofill'!AZ19</f>
        <v>0</v>
      </c>
      <c r="C26" s="75" t="str">
        <f>IF('CO Autofill'!BA19 = "", "", 'CO Autofill'!BA19)</f>
        <v/>
      </c>
      <c r="D26" s="71">
        <f>'CO Autofill'!AY19</f>
        <v>0</v>
      </c>
    </row>
    <row r="27" spans="1:4" x14ac:dyDescent="0.25">
      <c r="A27" s="9">
        <f>'CO Autofill'!A20</f>
        <v>0</v>
      </c>
      <c r="B27" s="73">
        <f>'CO Autofill'!AZ20</f>
        <v>0</v>
      </c>
      <c r="C27" s="75" t="str">
        <f>IF('CO Autofill'!BA20 = "", "", 'CO Autofill'!BA20)</f>
        <v/>
      </c>
      <c r="D27" s="71">
        <f>'CO Autofill'!AY20</f>
        <v>0</v>
      </c>
    </row>
    <row r="28" spans="1:4" x14ac:dyDescent="0.25">
      <c r="A28" s="9">
        <f>'CO Autofill'!A21</f>
        <v>0</v>
      </c>
      <c r="B28" s="73">
        <f>'CO Autofill'!AZ21</f>
        <v>0</v>
      </c>
      <c r="C28" s="75" t="str">
        <f>IF('CO Autofill'!BA21 = "", "", 'CO Autofill'!BA21)</f>
        <v/>
      </c>
      <c r="D28" s="71">
        <f>'CO Autofill'!AY21</f>
        <v>0</v>
      </c>
    </row>
    <row r="29" spans="1:4" x14ac:dyDescent="0.25">
      <c r="A29" s="9">
        <f>'CO Autofill'!A22</f>
        <v>0</v>
      </c>
      <c r="B29" s="73">
        <f>'CO Autofill'!AZ22</f>
        <v>0</v>
      </c>
      <c r="C29" s="75" t="str">
        <f>IF('CO Autofill'!BA22 = "", "", 'CO Autofill'!BA22)</f>
        <v/>
      </c>
      <c r="D29" s="71">
        <f>'CO Autofill'!AY22</f>
        <v>0</v>
      </c>
    </row>
    <row r="30" spans="1:4" x14ac:dyDescent="0.25">
      <c r="A30" s="9">
        <f>'CO Autofill'!A23</f>
        <v>0</v>
      </c>
      <c r="B30" s="73">
        <f>'CO Autofill'!AZ23</f>
        <v>0</v>
      </c>
      <c r="C30" s="75" t="str">
        <f>IF('CO Autofill'!BA23 = "", "", 'CO Autofill'!BA23)</f>
        <v/>
      </c>
      <c r="D30" s="71">
        <f>'CO Autofill'!AY23</f>
        <v>0</v>
      </c>
    </row>
    <row r="31" spans="1:4" x14ac:dyDescent="0.25">
      <c r="A31" s="9">
        <f>'CO Autofill'!A24</f>
        <v>0</v>
      </c>
      <c r="B31" s="73">
        <f>'CO Autofill'!AZ24</f>
        <v>0</v>
      </c>
      <c r="C31" s="75" t="str">
        <f>IF('CO Autofill'!BA24 = "", "", 'CO Autofill'!BA24)</f>
        <v/>
      </c>
      <c r="D31" s="71">
        <f>'CO Autofill'!AY24</f>
        <v>0</v>
      </c>
    </row>
    <row r="32" spans="1:4" x14ac:dyDescent="0.25">
      <c r="A32" s="9">
        <f>'CO Autofill'!A25</f>
        <v>0</v>
      </c>
      <c r="B32" s="73">
        <f>'CO Autofill'!AZ25</f>
        <v>0</v>
      </c>
      <c r="C32" s="75" t="str">
        <f>IF('CO Autofill'!BA25 = "", "", 'CO Autofill'!BA25)</f>
        <v/>
      </c>
      <c r="D32" s="71">
        <f>'CO Autofill'!AY25</f>
        <v>0</v>
      </c>
    </row>
    <row r="33" spans="1:4" x14ac:dyDescent="0.25">
      <c r="A33" s="9">
        <f>'CO Autofill'!A26</f>
        <v>0</v>
      </c>
      <c r="B33" s="73">
        <f>'CO Autofill'!AZ26</f>
        <v>0</v>
      </c>
      <c r="C33" s="75" t="str">
        <f>IF('CO Autofill'!BA26 = "", "", 'CO Autofill'!BA26)</f>
        <v/>
      </c>
      <c r="D33" s="71">
        <f>'CO Autofill'!AY26</f>
        <v>0</v>
      </c>
    </row>
    <row r="34" spans="1:4" x14ac:dyDescent="0.25">
      <c r="A34" s="9">
        <f>'CO Autofill'!A27</f>
        <v>0</v>
      </c>
      <c r="B34" s="73">
        <f>'CO Autofill'!AZ27</f>
        <v>0</v>
      </c>
      <c r="C34" s="75" t="str">
        <f>IF('CO Autofill'!BA27 = "", "", 'CO Autofill'!BA27)</f>
        <v/>
      </c>
      <c r="D34" s="71">
        <f>'CO Autofill'!AY27</f>
        <v>0</v>
      </c>
    </row>
    <row r="35" spans="1:4" x14ac:dyDescent="0.25">
      <c r="A35" s="9">
        <f>'CO Autofill'!A28</f>
        <v>0</v>
      </c>
      <c r="B35" s="73">
        <f>'CO Autofill'!AZ28</f>
        <v>0</v>
      </c>
      <c r="C35" s="75" t="str">
        <f>IF('CO Autofill'!BA28 = "", "", 'CO Autofill'!BA28)</f>
        <v/>
      </c>
      <c r="D35" s="71">
        <f>'CO Autofill'!AY28</f>
        <v>0</v>
      </c>
    </row>
    <row r="36" spans="1:4" x14ac:dyDescent="0.25">
      <c r="A36" s="9">
        <f>'CO Autofill'!A29</f>
        <v>0</v>
      </c>
      <c r="B36" s="73">
        <f>'CO Autofill'!AZ29</f>
        <v>0</v>
      </c>
      <c r="C36" s="75" t="str">
        <f>IF('CO Autofill'!BA29 = "", "", 'CO Autofill'!BA29)</f>
        <v/>
      </c>
      <c r="D36" s="71">
        <f>'CO Autofill'!AY29</f>
        <v>0</v>
      </c>
    </row>
    <row r="37" spans="1:4" x14ac:dyDescent="0.25">
      <c r="A37" s="9">
        <f>'CO Autofill'!A30</f>
        <v>0</v>
      </c>
      <c r="B37" s="73">
        <f>'CO Autofill'!AZ30</f>
        <v>0</v>
      </c>
      <c r="C37" s="75" t="str">
        <f>IF('CO Autofill'!BA30 = "", "", 'CO Autofill'!BA30)</f>
        <v/>
      </c>
      <c r="D37" s="71">
        <f>'CO Autofill'!AY30</f>
        <v>0</v>
      </c>
    </row>
    <row r="38" spans="1:4" x14ac:dyDescent="0.25">
      <c r="A38" s="9">
        <f>'CO Autofill'!A31</f>
        <v>0</v>
      </c>
      <c r="B38" s="73">
        <f>'CO Autofill'!AZ31</f>
        <v>0</v>
      </c>
      <c r="C38" s="75" t="str">
        <f>IF('CO Autofill'!BA31 = "", "", 'CO Autofill'!BA31)</f>
        <v/>
      </c>
      <c r="D38" s="71">
        <f>'CO Autofill'!AY31</f>
        <v>0</v>
      </c>
    </row>
    <row r="39" spans="1:4" x14ac:dyDescent="0.25">
      <c r="A39" s="9">
        <f>'CO Autofill'!A32</f>
        <v>0</v>
      </c>
      <c r="B39" s="73">
        <f>'CO Autofill'!AZ32</f>
        <v>0</v>
      </c>
      <c r="C39" s="75" t="str">
        <f>IF('CO Autofill'!BA32 = "", "", 'CO Autofill'!BA32)</f>
        <v/>
      </c>
      <c r="D39" s="71">
        <f>'CO Autofill'!AY32</f>
        <v>0</v>
      </c>
    </row>
    <row r="40" spans="1:4" x14ac:dyDescent="0.25">
      <c r="A40" s="9">
        <f>'CO Autofill'!A33</f>
        <v>0</v>
      </c>
      <c r="B40" s="73">
        <f>'CO Autofill'!AZ33</f>
        <v>0</v>
      </c>
      <c r="C40" s="75" t="str">
        <f>IF('CO Autofill'!BA33 = "", "", 'CO Autofill'!BA33)</f>
        <v/>
      </c>
      <c r="D40" s="71">
        <f>'CO Autofill'!AY33</f>
        <v>0</v>
      </c>
    </row>
    <row r="41" spans="1:4" x14ac:dyDescent="0.25">
      <c r="A41" s="9">
        <f>'CO Autofill'!A34</f>
        <v>0</v>
      </c>
      <c r="B41" s="73">
        <f>'CO Autofill'!AZ34</f>
        <v>0</v>
      </c>
      <c r="C41" s="75" t="str">
        <f>IF('CO Autofill'!BA34 = "", "", 'CO Autofill'!BA34)</f>
        <v/>
      </c>
      <c r="D41" s="71">
        <f>'CO Autofill'!AY34</f>
        <v>0</v>
      </c>
    </row>
    <row r="42" spans="1:4" x14ac:dyDescent="0.25">
      <c r="A42" s="1"/>
      <c r="B42" s="1"/>
      <c r="C42" s="1"/>
      <c r="D42" s="1"/>
    </row>
    <row r="43" spans="1:4" x14ac:dyDescent="0.25">
      <c r="A43" s="1"/>
      <c r="B43" s="172" t="s">
        <v>103</v>
      </c>
      <c r="C43" s="172"/>
      <c r="D43" s="71">
        <f>'PO Cover'!H58</f>
        <v>0</v>
      </c>
    </row>
    <row r="44" spans="1:4" x14ac:dyDescent="0.25">
      <c r="A44" s="1"/>
      <c r="B44" s="172" t="s">
        <v>104</v>
      </c>
      <c r="C44" s="172"/>
      <c r="D44" s="71">
        <f>SUM(D9:D41)-D45</f>
        <v>0</v>
      </c>
    </row>
    <row r="45" spans="1:4" x14ac:dyDescent="0.25">
      <c r="A45" s="1"/>
      <c r="B45" s="65" t="s">
        <v>105</v>
      </c>
      <c r="C45" s="55">
        <f>MAX(A9:A41)</f>
        <v>0</v>
      </c>
      <c r="D45" s="72">
        <f>VLOOKUP(C45,9:41,4,FALSE)</f>
        <v>0</v>
      </c>
    </row>
    <row r="46" spans="1:4" x14ac:dyDescent="0.25">
      <c r="A46" s="1"/>
      <c r="B46" s="172" t="s">
        <v>102</v>
      </c>
      <c r="C46" s="172"/>
      <c r="D46" s="72">
        <f>SUM(D43:D45)</f>
        <v>0</v>
      </c>
    </row>
    <row r="47" spans="1:4" x14ac:dyDescent="0.25"/>
  </sheetData>
  <sheetProtection sheet="1" objects="1" scenarios="1" formatCells="0" formatColumns="0" formatRows="0" selectLockedCells="1"/>
  <mergeCells count="8">
    <mergeCell ref="B44:C44"/>
    <mergeCell ref="B46:C46"/>
    <mergeCell ref="B43:C43"/>
    <mergeCell ref="A2:D2"/>
    <mergeCell ref="C4:D4"/>
    <mergeCell ref="C5:D5"/>
    <mergeCell ref="A4:B4"/>
    <mergeCell ref="A5:B5"/>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BC2"/>
  <sheetViews>
    <sheetView topLeftCell="AC1" workbookViewId="0">
      <selection activeCell="AY2" sqref="AY2"/>
    </sheetView>
  </sheetViews>
  <sheetFormatPr defaultRowHeight="15" x14ac:dyDescent="0.25"/>
  <cols>
    <col min="1" max="2" width="7" customWidth="1"/>
    <col min="3" max="3" width="7.28515625" customWidth="1"/>
    <col min="4" max="4" width="8.5703125" customWidth="1"/>
    <col min="31" max="31" width="9.5703125" customWidth="1"/>
    <col min="34" max="34" width="9.5703125" customWidth="1"/>
    <col min="37" max="37" width="9.5703125" customWidth="1"/>
    <col min="40" max="40" width="9.5703125" customWidth="1"/>
    <col min="43" max="43" width="9.5703125" customWidth="1"/>
    <col min="46" max="46" width="9.5703125" customWidth="1"/>
    <col min="49" max="49" width="16.42578125" customWidth="1"/>
    <col min="51" max="51" width="13.140625" customWidth="1"/>
    <col min="53" max="53" width="10.85546875" customWidth="1"/>
  </cols>
  <sheetData>
    <row r="1" spans="1:55" x14ac:dyDescent="0.25">
      <c r="A1" t="s">
        <v>100</v>
      </c>
      <c r="B1" t="s">
        <v>110</v>
      </c>
      <c r="C1" t="s">
        <v>111</v>
      </c>
      <c r="D1" t="s">
        <v>112</v>
      </c>
      <c r="E1" t="s">
        <v>113</v>
      </c>
      <c r="F1" t="s">
        <v>114</v>
      </c>
      <c r="G1" t="s">
        <v>115</v>
      </c>
      <c r="H1" t="s">
        <v>116</v>
      </c>
      <c r="I1" t="s">
        <v>117</v>
      </c>
      <c r="J1" t="s">
        <v>118</v>
      </c>
      <c r="K1" t="s">
        <v>119</v>
      </c>
      <c r="L1" t="s">
        <v>120</v>
      </c>
      <c r="M1" t="s">
        <v>121</v>
      </c>
      <c r="N1" t="s">
        <v>122</v>
      </c>
      <c r="O1" t="s">
        <v>123</v>
      </c>
      <c r="P1" t="s">
        <v>124</v>
      </c>
      <c r="Q1" t="s">
        <v>125</v>
      </c>
      <c r="R1" t="s">
        <v>126</v>
      </c>
      <c r="S1" t="s">
        <v>127</v>
      </c>
      <c r="T1" t="s">
        <v>128</v>
      </c>
      <c r="U1" t="s">
        <v>129</v>
      </c>
      <c r="V1" t="s">
        <v>130</v>
      </c>
      <c r="W1" t="s">
        <v>131</v>
      </c>
      <c r="X1" t="s">
        <v>132</v>
      </c>
      <c r="Y1" t="s">
        <v>133</v>
      </c>
      <c r="Z1" t="s">
        <v>134</v>
      </c>
      <c r="AA1" t="s">
        <v>135</v>
      </c>
      <c r="AB1" t="s">
        <v>136</v>
      </c>
      <c r="AC1" t="s">
        <v>137</v>
      </c>
      <c r="AD1" t="s">
        <v>138</v>
      </c>
      <c r="AE1" t="s">
        <v>139</v>
      </c>
      <c r="AF1" t="s">
        <v>140</v>
      </c>
      <c r="AG1" t="s">
        <v>141</v>
      </c>
      <c r="AH1" t="s">
        <v>142</v>
      </c>
      <c r="AI1" t="s">
        <v>143</v>
      </c>
      <c r="AJ1" t="s">
        <v>144</v>
      </c>
      <c r="AK1" t="s">
        <v>145</v>
      </c>
      <c r="AL1" t="s">
        <v>146</v>
      </c>
      <c r="AM1" t="s">
        <v>147</v>
      </c>
      <c r="AN1" t="s">
        <v>148</v>
      </c>
      <c r="AO1" t="s">
        <v>149</v>
      </c>
      <c r="AP1" t="s">
        <v>150</v>
      </c>
      <c r="AQ1" t="s">
        <v>151</v>
      </c>
      <c r="AR1" t="s">
        <v>152</v>
      </c>
      <c r="AS1" t="s">
        <v>153</v>
      </c>
      <c r="AT1" t="s">
        <v>154</v>
      </c>
      <c r="AU1" t="s">
        <v>33</v>
      </c>
      <c r="AV1" t="s">
        <v>44</v>
      </c>
      <c r="AW1" t="s">
        <v>155</v>
      </c>
      <c r="AX1" t="s">
        <v>156</v>
      </c>
      <c r="AY1" t="s">
        <v>32</v>
      </c>
      <c r="AZ1" t="s">
        <v>163</v>
      </c>
      <c r="BA1" t="s">
        <v>164</v>
      </c>
      <c r="BB1" t="s">
        <v>174</v>
      </c>
      <c r="BC1" t="s">
        <v>175</v>
      </c>
    </row>
    <row r="2" spans="1:55" x14ac:dyDescent="0.25">
      <c r="AV2" s="48">
        <v>0</v>
      </c>
      <c r="AW2" s="41">
        <f>Table12[qty1]*Table12[price1]+Table12[qty2]*Table12[price2]+Table12[qty3]*Table12[price3]+Table12[qty4]*Table12[price4]+Table12[qty5]*Table12[price5]+Table12[qty6]*Table12[price6]+Table12[qty7]*Table12[price7]+Table12[qty8]*Table12[price8]+Table12[qty9]*Table12[price9]+Table12[qty10]*Table12[price10]+Table12[qty11]*Table12[price11]+Table12[qty12]*Table12[price12]+Table12[qty13]*Table12[price13]+Table12[qty14]*Table12[price14]+Table12[qty15]*Table12[price15]</f>
        <v>0</v>
      </c>
      <c r="AX2" s="42">
        <f>IFERROR((Table12[Subtotal]+Table12[Freight])*Table12[Tax],Table12[Subtotal]*Table12[Tax])</f>
        <v>0</v>
      </c>
      <c r="AY2" s="42">
        <f>Table12[Tax2]+Table12[Subtotal]+Table12[Freight]</f>
        <v>0</v>
      </c>
      <c r="BA2" s="7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4"/>
  <sheetViews>
    <sheetView zoomScale="70" zoomScaleNormal="70" workbookViewId="0">
      <selection activeCell="F10" sqref="F10"/>
    </sheetView>
  </sheetViews>
  <sheetFormatPr defaultRowHeight="15" x14ac:dyDescent="0.25"/>
  <cols>
    <col min="1" max="1" width="27.42578125" customWidth="1"/>
    <col min="2" max="2" width="21.7109375" customWidth="1"/>
    <col min="3" max="3" width="59.140625" customWidth="1"/>
    <col min="4" max="7" width="11" customWidth="1"/>
    <col min="8" max="8" width="13.5703125" customWidth="1"/>
    <col min="9" max="9" width="11" customWidth="1"/>
    <col min="11" max="11" width="41" customWidth="1"/>
    <col min="12" max="12" width="34.42578125" customWidth="1"/>
  </cols>
  <sheetData>
    <row r="1" spans="1:21" x14ac:dyDescent="0.25">
      <c r="A1" t="s">
        <v>18</v>
      </c>
      <c r="B1" t="s">
        <v>19</v>
      </c>
      <c r="C1" t="s">
        <v>46</v>
      </c>
      <c r="D1" t="s">
        <v>51</v>
      </c>
      <c r="E1" t="s">
        <v>52</v>
      </c>
      <c r="F1" t="s">
        <v>56</v>
      </c>
      <c r="G1" t="s">
        <v>57</v>
      </c>
      <c r="H1" t="s">
        <v>32</v>
      </c>
      <c r="I1" t="s">
        <v>66</v>
      </c>
      <c r="J1" t="s">
        <v>80</v>
      </c>
      <c r="K1" t="s">
        <v>108</v>
      </c>
      <c r="L1" t="s">
        <v>187</v>
      </c>
    </row>
    <row r="2" spans="1:21" ht="243" customHeight="1" x14ac:dyDescent="0.25">
      <c r="A2" s="12" t="s">
        <v>17</v>
      </c>
      <c r="B2" s="13" t="s">
        <v>96</v>
      </c>
      <c r="C2" s="8" t="s">
        <v>99</v>
      </c>
      <c r="D2" s="14" t="s">
        <v>53</v>
      </c>
      <c r="E2" s="14" t="s">
        <v>54</v>
      </c>
      <c r="F2" s="8" t="s">
        <v>58</v>
      </c>
      <c r="G2" s="8" t="s">
        <v>59</v>
      </c>
      <c r="H2" s="15">
        <f>Pricing!D36</f>
        <v>0</v>
      </c>
      <c r="I2" s="8"/>
      <c r="J2" s="14" t="s">
        <v>50</v>
      </c>
      <c r="K2" s="11" t="s">
        <v>184</v>
      </c>
      <c r="L2" s="79" t="s">
        <v>188</v>
      </c>
      <c r="Q2" t="s">
        <v>59</v>
      </c>
    </row>
    <row r="3" spans="1:21" ht="327.75" x14ac:dyDescent="0.25">
      <c r="A3" s="12" t="s">
        <v>16</v>
      </c>
      <c r="B3" s="13" t="s">
        <v>97</v>
      </c>
      <c r="C3" s="11" t="s">
        <v>47</v>
      </c>
      <c r="D3" s="14" t="s">
        <v>55</v>
      </c>
      <c r="E3" s="14" t="s">
        <v>55</v>
      </c>
      <c r="F3" s="8" t="s">
        <v>60</v>
      </c>
      <c r="G3" s="8" t="s">
        <v>61</v>
      </c>
      <c r="H3" s="15">
        <f>Pricing!D37</f>
        <v>0</v>
      </c>
      <c r="I3" s="8" t="s">
        <v>67</v>
      </c>
      <c r="J3" s="14" t="s">
        <v>55</v>
      </c>
      <c r="K3" s="11" t="s">
        <v>176</v>
      </c>
      <c r="L3" s="80" t="s">
        <v>179</v>
      </c>
    </row>
    <row r="5" spans="1:21" x14ac:dyDescent="0.25">
      <c r="A5" t="s">
        <v>44</v>
      </c>
      <c r="B5" t="s">
        <v>45</v>
      </c>
      <c r="D5" t="s">
        <v>70</v>
      </c>
      <c r="E5" t="s">
        <v>71</v>
      </c>
      <c r="F5" t="s">
        <v>72</v>
      </c>
      <c r="K5" t="s">
        <v>185</v>
      </c>
    </row>
    <row r="6" spans="1:21" x14ac:dyDescent="0.25">
      <c r="A6" s="4" t="s">
        <v>34</v>
      </c>
      <c r="B6" s="5">
        <v>0.06</v>
      </c>
      <c r="D6" t="s">
        <v>73</v>
      </c>
      <c r="E6" t="s">
        <v>190</v>
      </c>
      <c r="F6" t="s">
        <v>191</v>
      </c>
      <c r="K6" t="s">
        <v>186</v>
      </c>
    </row>
    <row r="7" spans="1:21" x14ac:dyDescent="0.25">
      <c r="A7" s="4" t="s">
        <v>35</v>
      </c>
      <c r="B7" s="5">
        <v>0.08</v>
      </c>
      <c r="D7" t="s">
        <v>74</v>
      </c>
      <c r="E7" t="s">
        <v>192</v>
      </c>
      <c r="F7" t="s">
        <v>193</v>
      </c>
    </row>
    <row r="8" spans="1:21" x14ac:dyDescent="0.25">
      <c r="A8" s="4" t="s">
        <v>37</v>
      </c>
      <c r="B8" s="5">
        <v>7.0000000000000007E-2</v>
      </c>
      <c r="D8" t="s">
        <v>74</v>
      </c>
      <c r="E8" t="s">
        <v>194</v>
      </c>
      <c r="F8" t="s">
        <v>196</v>
      </c>
    </row>
    <row r="9" spans="1:21" x14ac:dyDescent="0.25">
      <c r="A9" s="6" t="s">
        <v>38</v>
      </c>
      <c r="B9" s="7">
        <v>0</v>
      </c>
      <c r="D9" t="s">
        <v>74</v>
      </c>
      <c r="E9" t="s">
        <v>195</v>
      </c>
      <c r="F9" t="s">
        <v>197</v>
      </c>
    </row>
    <row r="11" spans="1:21" hidden="1" x14ac:dyDescent="0.25"/>
    <row r="12" spans="1:21" hidden="1" x14ac:dyDescent="0.25"/>
    <row r="13" spans="1:21" x14ac:dyDescent="0.25">
      <c r="A13" t="s">
        <v>81</v>
      </c>
      <c r="B13" t="s">
        <v>75</v>
      </c>
      <c r="C13" t="s">
        <v>76</v>
      </c>
    </row>
    <row r="14" spans="1:21" x14ac:dyDescent="0.25">
      <c r="A14" t="s">
        <v>84</v>
      </c>
      <c r="B14" t="s">
        <v>85</v>
      </c>
      <c r="C14" t="s">
        <v>89</v>
      </c>
    </row>
    <row r="15" spans="1:21" x14ac:dyDescent="0.25">
      <c r="A15" t="s">
        <v>83</v>
      </c>
      <c r="B15" t="s">
        <v>86</v>
      </c>
      <c r="C15" t="s">
        <v>90</v>
      </c>
    </row>
    <row r="16" spans="1:21" ht="15" customHeight="1" x14ac:dyDescent="0.25">
      <c r="A16" t="s">
        <v>82</v>
      </c>
      <c r="B16" t="s">
        <v>87</v>
      </c>
      <c r="C16" t="s">
        <v>91</v>
      </c>
      <c r="N16" s="78" t="s">
        <v>179</v>
      </c>
      <c r="O16" s="78"/>
      <c r="P16" s="78"/>
      <c r="Q16" s="78"/>
      <c r="R16" s="78"/>
      <c r="S16" s="78"/>
      <c r="T16" s="78"/>
      <c r="U16" s="78"/>
    </row>
    <row r="17" spans="1:21" x14ac:dyDescent="0.25">
      <c r="B17" t="s">
        <v>88</v>
      </c>
      <c r="C17" t="s">
        <v>94</v>
      </c>
      <c r="N17" s="78"/>
      <c r="O17" s="78"/>
      <c r="P17" s="78"/>
      <c r="Q17" s="78"/>
      <c r="R17" s="78"/>
      <c r="S17" s="78"/>
      <c r="T17" s="78"/>
      <c r="U17" s="78"/>
    </row>
    <row r="18" spans="1:21" x14ac:dyDescent="0.25">
      <c r="C18" t="s">
        <v>92</v>
      </c>
      <c r="N18" s="78"/>
      <c r="O18" s="78"/>
      <c r="P18" s="78"/>
      <c r="Q18" s="78"/>
      <c r="R18" s="78"/>
      <c r="S18" s="78"/>
      <c r="T18" s="78"/>
      <c r="U18" s="78"/>
    </row>
    <row r="19" spans="1:21" x14ac:dyDescent="0.25">
      <c r="C19" t="s">
        <v>93</v>
      </c>
    </row>
    <row r="20" spans="1:21" x14ac:dyDescent="0.25">
      <c r="A20" s="45" t="s">
        <v>45</v>
      </c>
      <c r="B20" s="44" t="s">
        <v>44</v>
      </c>
    </row>
    <row r="21" spans="1:21" x14ac:dyDescent="0.25">
      <c r="A21" s="47">
        <v>0.06</v>
      </c>
      <c r="B21" s="46" t="s">
        <v>34</v>
      </c>
    </row>
    <row r="22" spans="1:21" x14ac:dyDescent="0.25">
      <c r="A22" s="5">
        <v>0.08</v>
      </c>
      <c r="B22" s="4" t="s">
        <v>35</v>
      </c>
    </row>
    <row r="23" spans="1:21" x14ac:dyDescent="0.25">
      <c r="A23" s="47">
        <v>7.0000000000000007E-2</v>
      </c>
      <c r="B23" s="46" t="s">
        <v>37</v>
      </c>
    </row>
    <row r="24" spans="1:21" x14ac:dyDescent="0.25">
      <c r="A24" s="5">
        <v>0</v>
      </c>
      <c r="B24" s="4" t="s">
        <v>38</v>
      </c>
    </row>
  </sheetData>
  <phoneticPr fontId="18" type="noConversion"/>
  <dataValidations disablePrompts="1" count="1">
    <dataValidation type="list" allowBlank="1" showInputMessage="1" showErrorMessage="1" sqref="Q2" xr:uid="{00000000-0002-0000-0900-000000000000}">
      <formula1>IF($A$2="PURCHASE ORDER",$F$2:$G$2,$E$3:$G$3)</formula1>
    </dataValidation>
  </dataValidation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PO Cover</vt:lpstr>
      <vt:lpstr>Signature</vt:lpstr>
      <vt:lpstr>General</vt:lpstr>
      <vt:lpstr>Instructions</vt:lpstr>
      <vt:lpstr>Pricing</vt:lpstr>
      <vt:lpstr>Change Order</vt:lpstr>
      <vt:lpstr>CO Riders</vt:lpstr>
      <vt:lpstr>Change Order Log</vt:lpstr>
      <vt:lpstr>CO Autofill</vt:lpstr>
      <vt:lpstr>AutoFill</vt:lpstr>
      <vt:lpstr>'Change Order'!Print_Area</vt:lpstr>
      <vt:lpstr>'CO Riders'!Print_Area</vt:lpstr>
      <vt:lpstr>'PO Cover'!Print_Area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Hollabaugh</dc:creator>
  <cp:lastModifiedBy>Seb Hollabaugh</cp:lastModifiedBy>
  <cp:lastPrinted>2019-09-10T19:19:31Z</cp:lastPrinted>
  <dcterms:created xsi:type="dcterms:W3CDTF">2016-07-05T15:24:19Z</dcterms:created>
  <dcterms:modified xsi:type="dcterms:W3CDTF">2020-08-17T20:44:50Z</dcterms:modified>
</cp:coreProperties>
</file>